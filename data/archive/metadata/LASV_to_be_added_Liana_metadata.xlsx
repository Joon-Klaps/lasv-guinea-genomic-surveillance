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\PhD\side_projects\guinea\LVE-PRJ02-supplementary_V02\"/>
    </mc:Choice>
  </mc:AlternateContent>
  <xr:revisionPtr revIDLastSave="0" documentId="13_ncr:1_{AB90502C-3BDF-4E6F-B679-D29C6F33C7E0}" xr6:coauthVersionLast="47" xr6:coauthVersionMax="47" xr10:uidLastSave="{00000000-0000-0000-0000-000000000000}"/>
  <bookViews>
    <workbookView xWindow="1380" yWindow="-108" windowWidth="21768" windowHeight="13176" activeTab="3" xr2:uid="{F9E3498A-42D6-46E6-AB53-F417467D8BF4}"/>
  </bookViews>
  <sheets>
    <sheet name="mainTable" sheetId="1" r:id="rId1"/>
    <sheet name="simonColSelection" sheetId="3" r:id="rId2"/>
    <sheet name="seqConcatenated" sheetId="2" r:id="rId3"/>
    <sheet name="finalSel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3" i="1" l="1"/>
  <c r="D225" i="1"/>
  <c r="D257" i="1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AJ161" i="1"/>
  <c r="B161" i="1" s="1"/>
  <c r="D161" i="1" s="1"/>
  <c r="AJ2" i="1"/>
  <c r="B2" i="1" s="1"/>
  <c r="D2" i="1" s="1"/>
  <c r="AJ3" i="1"/>
  <c r="B3" i="1" s="1"/>
  <c r="D3" i="1" s="1"/>
  <c r="AJ4" i="1"/>
  <c r="AJ5" i="1"/>
  <c r="B5" i="1" s="1"/>
  <c r="D5" i="1" s="1"/>
  <c r="AJ6" i="1"/>
  <c r="B6" i="1" s="1"/>
  <c r="D6" i="1" s="1"/>
  <c r="AJ7" i="1"/>
  <c r="AJ8" i="1"/>
  <c r="B8" i="1" s="1"/>
  <c r="D8" i="1" s="1"/>
  <c r="AJ9" i="1"/>
  <c r="B9" i="1" s="1"/>
  <c r="D9" i="1" s="1"/>
  <c r="AJ10" i="1"/>
  <c r="B10" i="1" s="1"/>
  <c r="D10" i="1" s="1"/>
  <c r="AJ11" i="1"/>
  <c r="B11" i="1" s="1"/>
  <c r="D11" i="1" s="1"/>
  <c r="AJ12" i="1"/>
  <c r="AJ13" i="1"/>
  <c r="B13" i="1" s="1"/>
  <c r="D13" i="1" s="1"/>
  <c r="AJ14" i="1"/>
  <c r="B14" i="1" s="1"/>
  <c r="D14" i="1" s="1"/>
  <c r="AJ15" i="1"/>
  <c r="B15" i="1" s="1"/>
  <c r="D15" i="1" s="1"/>
  <c r="AJ16" i="1"/>
  <c r="B16" i="1" s="1"/>
  <c r="D16" i="1" s="1"/>
  <c r="AJ17" i="1"/>
  <c r="B17" i="1" s="1"/>
  <c r="D17" i="1" s="1"/>
  <c r="AJ18" i="1"/>
  <c r="B18" i="1" s="1"/>
  <c r="D18" i="1" s="1"/>
  <c r="AJ19" i="1"/>
  <c r="B19" i="1" s="1"/>
  <c r="D19" i="1" s="1"/>
  <c r="AJ20" i="1"/>
  <c r="B20" i="1" s="1"/>
  <c r="D20" i="1" s="1"/>
  <c r="AJ21" i="1"/>
  <c r="B21" i="1" s="1"/>
  <c r="D21" i="1" s="1"/>
  <c r="AJ22" i="1"/>
  <c r="B22" i="1" s="1"/>
  <c r="D22" i="1" s="1"/>
  <c r="AJ23" i="1"/>
  <c r="B23" i="1" s="1"/>
  <c r="D23" i="1" s="1"/>
  <c r="AJ24" i="1"/>
  <c r="B24" i="1" s="1"/>
  <c r="D24" i="1" s="1"/>
  <c r="AJ25" i="1"/>
  <c r="B25" i="1" s="1"/>
  <c r="D25" i="1" s="1"/>
  <c r="AJ26" i="1"/>
  <c r="B26" i="1" s="1"/>
  <c r="D26" i="1" s="1"/>
  <c r="AJ27" i="1"/>
  <c r="B27" i="1" s="1"/>
  <c r="D27" i="1" s="1"/>
  <c r="AJ28" i="1"/>
  <c r="B28" i="1" s="1"/>
  <c r="D28" i="1" s="1"/>
  <c r="AJ29" i="1"/>
  <c r="AJ30" i="1"/>
  <c r="B30" i="1" s="1"/>
  <c r="D30" i="1" s="1"/>
  <c r="AJ31" i="1"/>
  <c r="B31" i="1" s="1"/>
  <c r="D31" i="1" s="1"/>
  <c r="AJ32" i="1"/>
  <c r="B32" i="1" s="1"/>
  <c r="D32" i="1" s="1"/>
  <c r="AJ33" i="1"/>
  <c r="B33" i="1" s="1"/>
  <c r="D33" i="1" s="1"/>
  <c r="AJ34" i="1"/>
  <c r="B34" i="1" s="1"/>
  <c r="D34" i="1" s="1"/>
  <c r="AJ35" i="1"/>
  <c r="B35" i="1" s="1"/>
  <c r="D35" i="1" s="1"/>
  <c r="AJ36" i="1"/>
  <c r="AJ37" i="1"/>
  <c r="B37" i="1" s="1"/>
  <c r="D37" i="1" s="1"/>
  <c r="AJ38" i="1"/>
  <c r="B38" i="1" s="1"/>
  <c r="D38" i="1" s="1"/>
  <c r="AJ39" i="1"/>
  <c r="B39" i="1" s="1"/>
  <c r="D39" i="1" s="1"/>
  <c r="AJ40" i="1"/>
  <c r="B40" i="1" s="1"/>
  <c r="D40" i="1" s="1"/>
  <c r="AJ41" i="1"/>
  <c r="B41" i="1" s="1"/>
  <c r="D41" i="1" s="1"/>
  <c r="AJ42" i="1"/>
  <c r="B42" i="1" s="1"/>
  <c r="D42" i="1" s="1"/>
  <c r="AJ43" i="1"/>
  <c r="B43" i="1" s="1"/>
  <c r="D43" i="1" s="1"/>
  <c r="AJ44" i="1"/>
  <c r="B44" i="1" s="1"/>
  <c r="D44" i="1" s="1"/>
  <c r="AJ45" i="1"/>
  <c r="B45" i="1" s="1"/>
  <c r="D45" i="1" s="1"/>
  <c r="AJ46" i="1"/>
  <c r="B46" i="1" s="1"/>
  <c r="D46" i="1" s="1"/>
  <c r="AJ47" i="1"/>
  <c r="B47" i="1" s="1"/>
  <c r="D47" i="1" s="1"/>
  <c r="AJ48" i="1"/>
  <c r="B48" i="1" s="1"/>
  <c r="D48" i="1" s="1"/>
  <c r="AJ49" i="1"/>
  <c r="B49" i="1" s="1"/>
  <c r="D49" i="1" s="1"/>
  <c r="AJ50" i="1"/>
  <c r="B50" i="1" s="1"/>
  <c r="D50" i="1" s="1"/>
  <c r="AJ51" i="1"/>
  <c r="B51" i="1" s="1"/>
  <c r="D51" i="1" s="1"/>
  <c r="AJ52" i="1"/>
  <c r="B52" i="1" s="1"/>
  <c r="D52" i="1" s="1"/>
  <c r="AJ53" i="1"/>
  <c r="B53" i="1" s="1"/>
  <c r="D53" i="1" s="1"/>
  <c r="AJ54" i="1"/>
  <c r="B54" i="1" s="1"/>
  <c r="D54" i="1" s="1"/>
  <c r="AJ55" i="1"/>
  <c r="B55" i="1" s="1"/>
  <c r="D55" i="1" s="1"/>
  <c r="AJ56" i="1"/>
  <c r="B56" i="1" s="1"/>
  <c r="D56" i="1" s="1"/>
  <c r="AJ57" i="1"/>
  <c r="B57" i="1" s="1"/>
  <c r="D57" i="1" s="1"/>
  <c r="AJ58" i="1"/>
  <c r="B58" i="1" s="1"/>
  <c r="D58" i="1" s="1"/>
  <c r="AJ59" i="1"/>
  <c r="B59" i="1" s="1"/>
  <c r="D59" i="1" s="1"/>
  <c r="AJ60" i="1"/>
  <c r="B60" i="1" s="1"/>
  <c r="D60" i="1" s="1"/>
  <c r="AJ61" i="1"/>
  <c r="B61" i="1" s="1"/>
  <c r="D61" i="1" s="1"/>
  <c r="AJ62" i="1"/>
  <c r="B62" i="1" s="1"/>
  <c r="D62" i="1" s="1"/>
  <c r="AJ63" i="1"/>
  <c r="B63" i="1" s="1"/>
  <c r="D63" i="1" s="1"/>
  <c r="AJ64" i="1"/>
  <c r="B64" i="1" s="1"/>
  <c r="D64" i="1" s="1"/>
  <c r="AJ65" i="1"/>
  <c r="B65" i="1" s="1"/>
  <c r="D65" i="1" s="1"/>
  <c r="AJ66" i="1"/>
  <c r="B66" i="1" s="1"/>
  <c r="D66" i="1" s="1"/>
  <c r="AJ67" i="1"/>
  <c r="B67" i="1" s="1"/>
  <c r="D67" i="1" s="1"/>
  <c r="AJ68" i="1"/>
  <c r="B68" i="1" s="1"/>
  <c r="D68" i="1" s="1"/>
  <c r="AJ69" i="1"/>
  <c r="B69" i="1" s="1"/>
  <c r="D69" i="1" s="1"/>
  <c r="AJ70" i="1"/>
  <c r="B70" i="1" s="1"/>
  <c r="D70" i="1" s="1"/>
  <c r="AJ71" i="1"/>
  <c r="B71" i="1" s="1"/>
  <c r="D71" i="1" s="1"/>
  <c r="AJ72" i="1"/>
  <c r="B72" i="1" s="1"/>
  <c r="D72" i="1" s="1"/>
  <c r="AJ73" i="1"/>
  <c r="B73" i="1" s="1"/>
  <c r="D73" i="1" s="1"/>
  <c r="AJ74" i="1"/>
  <c r="B74" i="1" s="1"/>
  <c r="D74" i="1" s="1"/>
  <c r="AJ75" i="1"/>
  <c r="B75" i="1" s="1"/>
  <c r="D75" i="1" s="1"/>
  <c r="AJ76" i="1"/>
  <c r="B76" i="1" s="1"/>
  <c r="D76" i="1" s="1"/>
  <c r="AJ77" i="1"/>
  <c r="AJ78" i="1"/>
  <c r="B78" i="1" s="1"/>
  <c r="D78" i="1" s="1"/>
  <c r="AJ79" i="1"/>
  <c r="B79" i="1" s="1"/>
  <c r="D79" i="1" s="1"/>
  <c r="AJ80" i="1"/>
  <c r="B80" i="1" s="1"/>
  <c r="D80" i="1" s="1"/>
  <c r="AJ81" i="1"/>
  <c r="B81" i="1" s="1"/>
  <c r="D81" i="1" s="1"/>
  <c r="AJ82" i="1"/>
  <c r="B82" i="1" s="1"/>
  <c r="D82" i="1" s="1"/>
  <c r="AJ83" i="1"/>
  <c r="B83" i="1" s="1"/>
  <c r="D83" i="1" s="1"/>
  <c r="AJ84" i="1"/>
  <c r="B84" i="1" s="1"/>
  <c r="D84" i="1" s="1"/>
  <c r="AJ85" i="1"/>
  <c r="AJ86" i="1"/>
  <c r="B86" i="1" s="1"/>
  <c r="D86" i="1" s="1"/>
  <c r="AJ87" i="1"/>
  <c r="B87" i="1" s="1"/>
  <c r="D87" i="1" s="1"/>
  <c r="AJ88" i="1"/>
  <c r="B88" i="1" s="1"/>
  <c r="D88" i="1" s="1"/>
  <c r="AJ89" i="1"/>
  <c r="AJ90" i="1"/>
  <c r="B90" i="1" s="1"/>
  <c r="D90" i="1" s="1"/>
  <c r="AJ91" i="1"/>
  <c r="B91" i="1" s="1"/>
  <c r="D91" i="1" s="1"/>
  <c r="AJ92" i="1"/>
  <c r="B92" i="1" s="1"/>
  <c r="D92" i="1" s="1"/>
  <c r="AJ93" i="1"/>
  <c r="B93" i="1" s="1"/>
  <c r="D93" i="1" s="1"/>
  <c r="AJ94" i="1"/>
  <c r="B94" i="1" s="1"/>
  <c r="D94" i="1" s="1"/>
  <c r="AJ95" i="1"/>
  <c r="B95" i="1" s="1"/>
  <c r="D95" i="1" s="1"/>
  <c r="AJ96" i="1"/>
  <c r="B96" i="1" s="1"/>
  <c r="D96" i="1" s="1"/>
  <c r="AJ97" i="1"/>
  <c r="B97" i="1" s="1"/>
  <c r="D97" i="1" s="1"/>
  <c r="AJ98" i="1"/>
  <c r="B98" i="1" s="1"/>
  <c r="D98" i="1" s="1"/>
  <c r="AJ99" i="1"/>
  <c r="B99" i="1" s="1"/>
  <c r="D99" i="1" s="1"/>
  <c r="AJ100" i="1"/>
  <c r="B100" i="1" s="1"/>
  <c r="D100" i="1" s="1"/>
  <c r="AJ101" i="1"/>
  <c r="B101" i="1" s="1"/>
  <c r="D101" i="1" s="1"/>
  <c r="AJ102" i="1"/>
  <c r="B102" i="1" s="1"/>
  <c r="D102" i="1" s="1"/>
  <c r="AJ103" i="1"/>
  <c r="B103" i="1" s="1"/>
  <c r="D103" i="1" s="1"/>
  <c r="AJ104" i="1"/>
  <c r="B104" i="1" s="1"/>
  <c r="D104" i="1" s="1"/>
  <c r="AJ105" i="1"/>
  <c r="B105" i="1" s="1"/>
  <c r="D105" i="1" s="1"/>
  <c r="AJ106" i="1"/>
  <c r="B106" i="1" s="1"/>
  <c r="D106" i="1" s="1"/>
  <c r="AJ107" i="1"/>
  <c r="B107" i="1" s="1"/>
  <c r="D107" i="1" s="1"/>
  <c r="AJ108" i="1"/>
  <c r="B108" i="1" s="1"/>
  <c r="D108" i="1" s="1"/>
  <c r="AJ109" i="1"/>
  <c r="B109" i="1" s="1"/>
  <c r="D109" i="1" s="1"/>
  <c r="AJ110" i="1"/>
  <c r="B110" i="1" s="1"/>
  <c r="D110" i="1" s="1"/>
  <c r="AJ111" i="1"/>
  <c r="B111" i="1" s="1"/>
  <c r="D111" i="1" s="1"/>
  <c r="AJ112" i="1"/>
  <c r="B112" i="1" s="1"/>
  <c r="D112" i="1" s="1"/>
  <c r="AJ113" i="1"/>
  <c r="B113" i="1" s="1"/>
  <c r="D113" i="1" s="1"/>
  <c r="AJ114" i="1"/>
  <c r="B114" i="1" s="1"/>
  <c r="D114" i="1" s="1"/>
  <c r="AJ115" i="1"/>
  <c r="B115" i="1" s="1"/>
  <c r="D115" i="1" s="1"/>
  <c r="AJ116" i="1"/>
  <c r="B116" i="1" s="1"/>
  <c r="D116" i="1" s="1"/>
  <c r="AJ117" i="1"/>
  <c r="B117" i="1" s="1"/>
  <c r="D117" i="1" s="1"/>
  <c r="AJ118" i="1"/>
  <c r="B118" i="1" s="1"/>
  <c r="D118" i="1" s="1"/>
  <c r="AJ119" i="1"/>
  <c r="B119" i="1" s="1"/>
  <c r="D119" i="1" s="1"/>
  <c r="AJ120" i="1"/>
  <c r="B120" i="1" s="1"/>
  <c r="D120" i="1" s="1"/>
  <c r="AJ121" i="1"/>
  <c r="B121" i="1" s="1"/>
  <c r="D121" i="1" s="1"/>
  <c r="AJ122" i="1"/>
  <c r="B122" i="1" s="1"/>
  <c r="D122" i="1" s="1"/>
  <c r="AJ123" i="1"/>
  <c r="B123" i="1" s="1"/>
  <c r="D123" i="1" s="1"/>
  <c r="AJ124" i="1"/>
  <c r="AJ125" i="1"/>
  <c r="B125" i="1" s="1"/>
  <c r="D125" i="1" s="1"/>
  <c r="AJ126" i="1"/>
  <c r="B126" i="1" s="1"/>
  <c r="D126" i="1" s="1"/>
  <c r="AJ127" i="1"/>
  <c r="B127" i="1" s="1"/>
  <c r="D127" i="1" s="1"/>
  <c r="AJ128" i="1"/>
  <c r="B128" i="1" s="1"/>
  <c r="D128" i="1" s="1"/>
  <c r="AJ129" i="1"/>
  <c r="B129" i="1" s="1"/>
  <c r="D129" i="1" s="1"/>
  <c r="AJ130" i="1"/>
  <c r="B130" i="1" s="1"/>
  <c r="D130" i="1" s="1"/>
  <c r="AJ131" i="1"/>
  <c r="B131" i="1" s="1"/>
  <c r="D131" i="1" s="1"/>
  <c r="AJ132" i="1"/>
  <c r="B132" i="1" s="1"/>
  <c r="D132" i="1" s="1"/>
  <c r="AJ133" i="1"/>
  <c r="B133" i="1" s="1"/>
  <c r="D133" i="1" s="1"/>
  <c r="AJ134" i="1"/>
  <c r="B134" i="1" s="1"/>
  <c r="D134" i="1" s="1"/>
  <c r="AJ135" i="1"/>
  <c r="B135" i="1" s="1"/>
  <c r="D135" i="1" s="1"/>
  <c r="AJ136" i="1"/>
  <c r="B136" i="1" s="1"/>
  <c r="D136" i="1" s="1"/>
  <c r="AJ137" i="1"/>
  <c r="B137" i="1" s="1"/>
  <c r="D137" i="1" s="1"/>
  <c r="AJ138" i="1"/>
  <c r="B138" i="1" s="1"/>
  <c r="D138" i="1" s="1"/>
  <c r="AJ139" i="1"/>
  <c r="B139" i="1" s="1"/>
  <c r="D139" i="1" s="1"/>
  <c r="AJ140" i="1"/>
  <c r="B140" i="1" s="1"/>
  <c r="D140" i="1" s="1"/>
  <c r="AJ141" i="1"/>
  <c r="B141" i="1" s="1"/>
  <c r="D141" i="1" s="1"/>
  <c r="AJ142" i="1"/>
  <c r="B142" i="1" s="1"/>
  <c r="D142" i="1" s="1"/>
  <c r="AJ143" i="1"/>
  <c r="B143" i="1" s="1"/>
  <c r="D143" i="1" s="1"/>
  <c r="AJ144" i="1"/>
  <c r="B144" i="1" s="1"/>
  <c r="D144" i="1" s="1"/>
  <c r="AJ145" i="1"/>
  <c r="B145" i="1" s="1"/>
  <c r="D145" i="1" s="1"/>
  <c r="AJ146" i="1"/>
  <c r="B146" i="1" s="1"/>
  <c r="D146" i="1" s="1"/>
  <c r="AJ147" i="1"/>
  <c r="B147" i="1" s="1"/>
  <c r="D147" i="1" s="1"/>
  <c r="AJ148" i="1"/>
  <c r="B148" i="1" s="1"/>
  <c r="D148" i="1" s="1"/>
  <c r="AJ149" i="1"/>
  <c r="B149" i="1" s="1"/>
  <c r="D149" i="1" s="1"/>
  <c r="AJ150" i="1"/>
  <c r="B150" i="1" s="1"/>
  <c r="D150" i="1" s="1"/>
  <c r="AJ151" i="1"/>
  <c r="B151" i="1" s="1"/>
  <c r="D151" i="1" s="1"/>
  <c r="AJ152" i="1"/>
  <c r="B152" i="1" s="1"/>
  <c r="D152" i="1" s="1"/>
  <c r="AJ153" i="1"/>
  <c r="B153" i="1" s="1"/>
  <c r="D153" i="1" s="1"/>
  <c r="AJ154" i="1"/>
  <c r="B154" i="1" s="1"/>
  <c r="D154" i="1" s="1"/>
  <c r="AJ155" i="1"/>
  <c r="B155" i="1" s="1"/>
  <c r="D155" i="1" s="1"/>
  <c r="AJ156" i="1"/>
  <c r="B156" i="1" s="1"/>
  <c r="D156" i="1" s="1"/>
  <c r="AJ157" i="1"/>
  <c r="AJ158" i="1"/>
  <c r="B158" i="1" s="1"/>
  <c r="D158" i="1" s="1"/>
  <c r="AJ159" i="1"/>
  <c r="B159" i="1" s="1"/>
  <c r="D159" i="1" s="1"/>
  <c r="AJ160" i="1"/>
  <c r="B160" i="1" s="1"/>
  <c r="D160" i="1" s="1"/>
  <c r="AJ162" i="1"/>
  <c r="B162" i="1" s="1"/>
  <c r="D162" i="1" s="1"/>
  <c r="AJ163" i="1"/>
  <c r="B163" i="1" s="1"/>
  <c r="D163" i="1" s="1"/>
  <c r="AJ164" i="1"/>
  <c r="B164" i="1" s="1"/>
  <c r="D164" i="1" s="1"/>
  <c r="AJ165" i="1"/>
  <c r="B165" i="1" s="1"/>
  <c r="D165" i="1" s="1"/>
  <c r="AJ166" i="1"/>
  <c r="B166" i="1" s="1"/>
  <c r="D166" i="1" s="1"/>
  <c r="AJ167" i="1"/>
  <c r="B167" i="1" s="1"/>
  <c r="D167" i="1" s="1"/>
  <c r="AJ168" i="1"/>
  <c r="AJ169" i="1"/>
  <c r="B169" i="1" s="1"/>
  <c r="D169" i="1" s="1"/>
  <c r="AJ170" i="1"/>
  <c r="B170" i="1" s="1"/>
  <c r="D170" i="1" s="1"/>
  <c r="AJ171" i="1"/>
  <c r="B171" i="1" s="1"/>
  <c r="D171" i="1" s="1"/>
  <c r="AJ172" i="1"/>
  <c r="B172" i="1" s="1"/>
  <c r="D172" i="1" s="1"/>
  <c r="AJ173" i="1"/>
  <c r="B173" i="1" s="1"/>
  <c r="D173" i="1" s="1"/>
  <c r="AJ174" i="1"/>
  <c r="B174" i="1" s="1"/>
  <c r="D174" i="1" s="1"/>
  <c r="AJ175" i="1"/>
  <c r="B175" i="1" s="1"/>
  <c r="D175" i="1" s="1"/>
  <c r="AJ176" i="1"/>
  <c r="B176" i="1" s="1"/>
  <c r="D176" i="1" s="1"/>
  <c r="AJ177" i="1"/>
  <c r="B177" i="1" s="1"/>
  <c r="D177" i="1" s="1"/>
  <c r="AJ178" i="1"/>
  <c r="B178" i="1" s="1"/>
  <c r="D178" i="1" s="1"/>
  <c r="AJ179" i="1"/>
  <c r="B179" i="1" s="1"/>
  <c r="D179" i="1" s="1"/>
  <c r="AJ180" i="1"/>
  <c r="B180" i="1" s="1"/>
  <c r="D180" i="1" s="1"/>
  <c r="AJ181" i="1"/>
  <c r="B181" i="1" s="1"/>
  <c r="D181" i="1" s="1"/>
  <c r="AJ182" i="1"/>
  <c r="B182" i="1" s="1"/>
  <c r="D182" i="1" s="1"/>
  <c r="AJ183" i="1"/>
  <c r="B183" i="1" s="1"/>
  <c r="D183" i="1" s="1"/>
  <c r="AJ184" i="1"/>
  <c r="B184" i="1" s="1"/>
  <c r="D184" i="1" s="1"/>
  <c r="AJ185" i="1"/>
  <c r="B185" i="1" s="1"/>
  <c r="D185" i="1" s="1"/>
  <c r="AJ186" i="1"/>
  <c r="AJ187" i="1"/>
  <c r="B187" i="1" s="1"/>
  <c r="D187" i="1" s="1"/>
  <c r="AJ188" i="1"/>
  <c r="B188" i="1" s="1"/>
  <c r="D188" i="1" s="1"/>
  <c r="AJ189" i="1"/>
  <c r="B189" i="1" s="1"/>
  <c r="D189" i="1" s="1"/>
  <c r="AJ190" i="1"/>
  <c r="B190" i="1" s="1"/>
  <c r="D190" i="1" s="1"/>
  <c r="AJ191" i="1"/>
  <c r="B191" i="1" s="1"/>
  <c r="D191" i="1" s="1"/>
  <c r="AJ192" i="1"/>
  <c r="B192" i="1" s="1"/>
  <c r="D192" i="1" s="1"/>
  <c r="AJ193" i="1"/>
  <c r="B193" i="1" s="1"/>
  <c r="AJ194" i="1"/>
  <c r="B194" i="1" s="1"/>
  <c r="D194" i="1" s="1"/>
  <c r="AJ195" i="1"/>
  <c r="B195" i="1" s="1"/>
  <c r="D195" i="1" s="1"/>
  <c r="AJ196" i="1"/>
  <c r="B196" i="1" s="1"/>
  <c r="D196" i="1" s="1"/>
  <c r="AJ197" i="1"/>
  <c r="B197" i="1" s="1"/>
  <c r="D197" i="1" s="1"/>
  <c r="AJ198" i="1"/>
  <c r="B198" i="1" s="1"/>
  <c r="D198" i="1" s="1"/>
  <c r="AJ199" i="1"/>
  <c r="B199" i="1" s="1"/>
  <c r="D199" i="1" s="1"/>
  <c r="AJ200" i="1"/>
  <c r="B200" i="1" s="1"/>
  <c r="D200" i="1" s="1"/>
  <c r="AJ201" i="1"/>
  <c r="B201" i="1" s="1"/>
  <c r="D201" i="1" s="1"/>
  <c r="AJ202" i="1"/>
  <c r="B202" i="1" s="1"/>
  <c r="D202" i="1" s="1"/>
  <c r="AJ203" i="1"/>
  <c r="B203" i="1" s="1"/>
  <c r="D203" i="1" s="1"/>
  <c r="AJ204" i="1"/>
  <c r="B204" i="1" s="1"/>
  <c r="D204" i="1" s="1"/>
  <c r="AJ205" i="1"/>
  <c r="B205" i="1" s="1"/>
  <c r="D205" i="1" s="1"/>
  <c r="AJ206" i="1"/>
  <c r="B206" i="1" s="1"/>
  <c r="D206" i="1" s="1"/>
  <c r="AJ207" i="1"/>
  <c r="B207" i="1" s="1"/>
  <c r="D207" i="1" s="1"/>
  <c r="AJ208" i="1"/>
  <c r="B208" i="1" s="1"/>
  <c r="D208" i="1" s="1"/>
  <c r="AJ209" i="1"/>
  <c r="B209" i="1" s="1"/>
  <c r="D209" i="1" s="1"/>
  <c r="AJ210" i="1"/>
  <c r="B210" i="1" s="1"/>
  <c r="D210" i="1" s="1"/>
  <c r="AJ211" i="1"/>
  <c r="B211" i="1" s="1"/>
  <c r="D211" i="1" s="1"/>
  <c r="AJ212" i="1"/>
  <c r="B212" i="1" s="1"/>
  <c r="D212" i="1" s="1"/>
  <c r="AJ213" i="1"/>
  <c r="B213" i="1" s="1"/>
  <c r="D213" i="1" s="1"/>
  <c r="AJ214" i="1"/>
  <c r="B214" i="1" s="1"/>
  <c r="D214" i="1" s="1"/>
  <c r="AJ215" i="1"/>
  <c r="B215" i="1" s="1"/>
  <c r="D215" i="1" s="1"/>
  <c r="AJ216" i="1"/>
  <c r="B216" i="1" s="1"/>
  <c r="D216" i="1" s="1"/>
  <c r="AJ217" i="1"/>
  <c r="B217" i="1" s="1"/>
  <c r="D217" i="1" s="1"/>
  <c r="AJ218" i="1"/>
  <c r="B218" i="1" s="1"/>
  <c r="D218" i="1" s="1"/>
  <c r="AJ219" i="1"/>
  <c r="B219" i="1" s="1"/>
  <c r="D219" i="1" s="1"/>
  <c r="AJ220" i="1"/>
  <c r="B220" i="1" s="1"/>
  <c r="D220" i="1" s="1"/>
  <c r="AJ221" i="1"/>
  <c r="B221" i="1" s="1"/>
  <c r="D221" i="1" s="1"/>
  <c r="AJ222" i="1"/>
  <c r="B222" i="1" s="1"/>
  <c r="D222" i="1" s="1"/>
  <c r="AJ223" i="1"/>
  <c r="B223" i="1" s="1"/>
  <c r="D223" i="1" s="1"/>
  <c r="AJ224" i="1"/>
  <c r="B224" i="1" s="1"/>
  <c r="D224" i="1" s="1"/>
  <c r="AJ225" i="1"/>
  <c r="B225" i="1" s="1"/>
  <c r="AJ226" i="1"/>
  <c r="B226" i="1" s="1"/>
  <c r="D226" i="1" s="1"/>
  <c r="AJ227" i="1"/>
  <c r="B227" i="1" s="1"/>
  <c r="D227" i="1" s="1"/>
  <c r="AJ228" i="1"/>
  <c r="B228" i="1" s="1"/>
  <c r="D228" i="1" s="1"/>
  <c r="AJ229" i="1"/>
  <c r="B229" i="1" s="1"/>
  <c r="D229" i="1" s="1"/>
  <c r="AJ230" i="1"/>
  <c r="B230" i="1" s="1"/>
  <c r="D230" i="1" s="1"/>
  <c r="AJ231" i="1"/>
  <c r="B231" i="1" s="1"/>
  <c r="D231" i="1" s="1"/>
  <c r="AJ232" i="1"/>
  <c r="B232" i="1" s="1"/>
  <c r="D232" i="1" s="1"/>
  <c r="AJ233" i="1"/>
  <c r="B233" i="1" s="1"/>
  <c r="D233" i="1" s="1"/>
  <c r="AJ234" i="1"/>
  <c r="B234" i="1" s="1"/>
  <c r="D234" i="1" s="1"/>
  <c r="AJ235" i="1"/>
  <c r="B235" i="1" s="1"/>
  <c r="D235" i="1" s="1"/>
  <c r="AJ236" i="1"/>
  <c r="B236" i="1" s="1"/>
  <c r="D236" i="1" s="1"/>
  <c r="AJ237" i="1"/>
  <c r="B237" i="1" s="1"/>
  <c r="D237" i="1" s="1"/>
  <c r="AJ238" i="1"/>
  <c r="B238" i="1" s="1"/>
  <c r="D238" i="1" s="1"/>
  <c r="AJ239" i="1"/>
  <c r="B239" i="1" s="1"/>
  <c r="D239" i="1" s="1"/>
  <c r="AJ240" i="1"/>
  <c r="B240" i="1" s="1"/>
  <c r="D240" i="1" s="1"/>
  <c r="AJ241" i="1"/>
  <c r="B241" i="1" s="1"/>
  <c r="D241" i="1" s="1"/>
  <c r="AJ242" i="1"/>
  <c r="B242" i="1" s="1"/>
  <c r="D242" i="1" s="1"/>
  <c r="AJ243" i="1"/>
  <c r="B243" i="1" s="1"/>
  <c r="D243" i="1" s="1"/>
  <c r="AJ244" i="1"/>
  <c r="B244" i="1" s="1"/>
  <c r="D244" i="1" s="1"/>
  <c r="AJ245" i="1"/>
  <c r="B245" i="1" s="1"/>
  <c r="D245" i="1" s="1"/>
  <c r="AJ246" i="1"/>
  <c r="B246" i="1" s="1"/>
  <c r="D246" i="1" s="1"/>
  <c r="AJ247" i="1"/>
  <c r="B247" i="1" s="1"/>
  <c r="D247" i="1" s="1"/>
  <c r="AJ248" i="1"/>
  <c r="B248" i="1" s="1"/>
  <c r="D248" i="1" s="1"/>
  <c r="AJ249" i="1"/>
  <c r="B249" i="1" s="1"/>
  <c r="D249" i="1" s="1"/>
  <c r="AJ250" i="1"/>
  <c r="B250" i="1" s="1"/>
  <c r="D250" i="1" s="1"/>
  <c r="AJ251" i="1"/>
  <c r="B251" i="1" s="1"/>
  <c r="D251" i="1" s="1"/>
  <c r="AJ252" i="1"/>
  <c r="AJ253" i="1"/>
  <c r="B253" i="1" s="1"/>
  <c r="D253" i="1" s="1"/>
  <c r="AJ254" i="1"/>
  <c r="AJ255" i="1"/>
  <c r="B255" i="1" s="1"/>
  <c r="D255" i="1" s="1"/>
  <c r="AJ256" i="1"/>
  <c r="B256" i="1" s="1"/>
  <c r="D256" i="1" s="1"/>
  <c r="AJ257" i="1"/>
  <c r="B257" i="1" s="1"/>
  <c r="AJ258" i="1"/>
  <c r="B258" i="1" s="1"/>
  <c r="D258" i="1" s="1"/>
  <c r="AJ259" i="1"/>
  <c r="B259" i="1" s="1"/>
  <c r="D259" i="1" s="1"/>
  <c r="AJ260" i="1"/>
  <c r="B260" i="1" s="1"/>
  <c r="D260" i="1" s="1"/>
  <c r="AJ261" i="1"/>
  <c r="B261" i="1" s="1"/>
  <c r="D261" i="1" s="1"/>
  <c r="AJ262" i="1"/>
  <c r="B262" i="1" s="1"/>
  <c r="D262" i="1" s="1"/>
  <c r="AJ263" i="1"/>
  <c r="B263" i="1" s="1"/>
  <c r="D263" i="1" s="1"/>
  <c r="AJ264" i="1"/>
  <c r="B264" i="1" s="1"/>
  <c r="D264" i="1" s="1"/>
  <c r="AJ265" i="1"/>
  <c r="B265" i="1" s="1"/>
  <c r="D265" i="1" s="1"/>
  <c r="AJ266" i="1"/>
  <c r="B266" i="1" s="1"/>
  <c r="D266" i="1" s="1"/>
  <c r="AJ267" i="1"/>
  <c r="B267" i="1" s="1"/>
  <c r="D267" i="1" s="1"/>
  <c r="AJ268" i="1"/>
  <c r="B268" i="1" s="1"/>
  <c r="D268" i="1" s="1"/>
  <c r="AJ269" i="1"/>
  <c r="B269" i="1" s="1"/>
  <c r="D269" i="1" s="1"/>
  <c r="AJ270" i="1"/>
  <c r="B270" i="1" s="1"/>
  <c r="D270" i="1" s="1"/>
  <c r="B4" i="1"/>
  <c r="D4" i="1" s="1"/>
  <c r="B7" i="1"/>
  <c r="D7" i="1" s="1"/>
  <c r="B12" i="1"/>
  <c r="D12" i="1" s="1"/>
  <c r="B29" i="1"/>
  <c r="D29" i="1" s="1"/>
  <c r="B36" i="1"/>
  <c r="D36" i="1" s="1"/>
  <c r="B77" i="1"/>
  <c r="D77" i="1" s="1"/>
  <c r="B85" i="1"/>
  <c r="D85" i="1" s="1"/>
  <c r="B89" i="1"/>
  <c r="D89" i="1" s="1"/>
  <c r="B124" i="1"/>
  <c r="D124" i="1" s="1"/>
  <c r="B157" i="1"/>
  <c r="D157" i="1" s="1"/>
  <c r="B168" i="1"/>
  <c r="D168" i="1" s="1"/>
  <c r="B186" i="1"/>
  <c r="D186" i="1" s="1"/>
  <c r="B252" i="1"/>
  <c r="D252" i="1" s="1"/>
  <c r="B254" i="1"/>
  <c r="D254" i="1" s="1"/>
</calcChain>
</file>

<file path=xl/sharedStrings.xml><?xml version="1.0" encoding="utf-8"?>
<sst xmlns="http://schemas.openxmlformats.org/spreadsheetml/2006/main" count="8000" uniqueCount="1916">
  <si>
    <t>Order</t>
  </si>
  <si>
    <t>Name_For_file</t>
  </si>
  <si>
    <t>Accession</t>
  </si>
  <si>
    <t>SRA_Accession</t>
  </si>
  <si>
    <t>Strain name</t>
  </si>
  <si>
    <t>Gene</t>
  </si>
  <si>
    <t>in_alignment_file</t>
  </si>
  <si>
    <t>to_be_added</t>
  </si>
  <si>
    <t>reason_for_exclusion</t>
  </si>
  <si>
    <t>comments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</si>
  <si>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</si>
  <si>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</si>
  <si>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</si>
  <si>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</si>
  <si>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</si>
  <si>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</si>
  <si>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</si>
  <si>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</si>
  <si>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</si>
  <si>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</si>
  <si>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</si>
  <si>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</si>
  <si>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Publications</t>
  </si>
  <si>
    <t>Geo_Location</t>
  </si>
  <si>
    <t>Country</t>
  </si>
  <si>
    <t>latitute</t>
  </si>
  <si>
    <t>longtitude</t>
  </si>
  <si>
    <t>Information-re-location-coordinates</t>
  </si>
  <si>
    <t>USA</t>
  </si>
  <si>
    <t>Host</t>
  </si>
  <si>
    <t>Isolation_Source</t>
  </si>
  <si>
    <t>Collection_Date</t>
  </si>
  <si>
    <t>BioSample</t>
  </si>
  <si>
    <t>GenBank_Title</t>
  </si>
  <si>
    <t>MT119465.1</t>
  </si>
  <si>
    <t>Bri-103</t>
  </si>
  <si>
    <t>GP</t>
  </si>
  <si>
    <t>not yet</t>
  </si>
  <si>
    <t>Yes</t>
  </si>
  <si>
    <t>NA</t>
  </si>
  <si>
    <t>Marien,J., Lo Iacono,G., Rieger,T., Magassouba,N., Gunther,S., Fichet-Calvet,E.</t>
  </si>
  <si>
    <t>2020-06-10T00:00:00Z</t>
  </si>
  <si>
    <t>Lassa mammarenavirus</t>
  </si>
  <si>
    <t>Mammarenavirus</t>
  </si>
  <si>
    <t>Arenaviridae</t>
  </si>
  <si>
    <t>ssRNA(+/-)</t>
  </si>
  <si>
    <t>GenBank</t>
  </si>
  <si>
    <t>partial</t>
  </si>
  <si>
    <t>S</t>
  </si>
  <si>
    <t>Guinea: Brissa</t>
  </si>
  <si>
    <t>Guinea</t>
  </si>
  <si>
    <t>Taken from LASV_all_the_metadata</t>
  </si>
  <si>
    <t>Mastomys natalensis</t>
  </si>
  <si>
    <t>blood</t>
  </si>
  <si>
    <t>Lassa mammarenavirus strain Bri-103 glycoprotein gene, partial cds</t>
  </si>
  <si>
    <t>MT119559.1</t>
  </si>
  <si>
    <t>NP</t>
  </si>
  <si>
    <t>Lassa mammarenavirus strain Bri-103 nucleoprotein gene, partial cds</t>
  </si>
  <si>
    <t>MT119466.1</t>
  </si>
  <si>
    <t>Bri-115</t>
  </si>
  <si>
    <t>Lassa mammarenavirus strain Bri-115 glycoprotein gene, partial cds</t>
  </si>
  <si>
    <t>MT119560.1</t>
  </si>
  <si>
    <t>Lassa mammarenavirus strain Bri-115 nucleoprotein gene, partial cds</t>
  </si>
  <si>
    <t>MT119467.1</t>
  </si>
  <si>
    <t>Bri-116</t>
  </si>
  <si>
    <t>Lassa mammarenavirus strain Bri-116 glycoprotein gene, partial cds</t>
  </si>
  <si>
    <t>MT119561.1</t>
  </si>
  <si>
    <t>Lassa mammarenavirus strain Bri-116 nucleoprotein gene, partial cds</t>
  </si>
  <si>
    <t>MT119468.1</t>
  </si>
  <si>
    <t>Bri-124</t>
  </si>
  <si>
    <t>Lassa mammarenavirus strain Bri-124 glycoprotein gene, partial cds</t>
  </si>
  <si>
    <t>MT119562.1</t>
  </si>
  <si>
    <t>Lassa mammarenavirus strain Bri-124 nucleoprotein gene, partial cds</t>
  </si>
  <si>
    <t>MT119469.1</t>
  </si>
  <si>
    <t>Bri-145</t>
  </si>
  <si>
    <t>Lassa mammarenavirus strain Bri-145 glycoprotein gene, partial cds</t>
  </si>
  <si>
    <t>MT119563.1</t>
  </si>
  <si>
    <t>Lassa mammarenavirus strain Bri-145 nucleoprotein gene, partial cds</t>
  </si>
  <si>
    <t>MT119470.1</t>
  </si>
  <si>
    <t>Bri-161</t>
  </si>
  <si>
    <t>Lassa mammarenavirus strain Bri-161 glycoprotein gene, partial cds</t>
  </si>
  <si>
    <t>MT119564.1</t>
  </si>
  <si>
    <t>Lassa mammarenavirus strain Bri-161 nucleoprotein gene, partial cds</t>
  </si>
  <si>
    <t>MT119471.1</t>
  </si>
  <si>
    <t>Bri-174</t>
  </si>
  <si>
    <t>Lassa mammarenavirus strain Bri-174 glycoprotein gene, partial cds</t>
  </si>
  <si>
    <t>MT119565.1</t>
  </si>
  <si>
    <t>Lassa mammarenavirus strain Bri-174 nucleoprotein gene, partial cds</t>
  </si>
  <si>
    <t>MT119472.1</t>
  </si>
  <si>
    <t>Bri-194</t>
  </si>
  <si>
    <t>Lassa mammarenavirus strain Bri-194 glycoprotein gene, partial cds</t>
  </si>
  <si>
    <t>MT119566.1</t>
  </si>
  <si>
    <t>Lassa mammarenavirus strain Bri-194 nucleoprotein gene, partial cds</t>
  </si>
  <si>
    <t>MT119473.1</t>
  </si>
  <si>
    <t>Bri-195</t>
  </si>
  <si>
    <t>Lassa mammarenavirus strain Bri-195 glycoprotein gene, partial cds</t>
  </si>
  <si>
    <t>MT119567.1</t>
  </si>
  <si>
    <t>Lassa mammarenavirus strain Bri-195 nucleoprotein gene, partial cds</t>
  </si>
  <si>
    <t>MT119474.1</t>
  </si>
  <si>
    <t>Bri-201</t>
  </si>
  <si>
    <t>Lassa mammarenavirus strain Bri-201 glycoprotein gene, partial cds</t>
  </si>
  <si>
    <t>MT119568.1</t>
  </si>
  <si>
    <t>Lassa mammarenavirus strain Bri-201 nucleoprotein gene, partial cds</t>
  </si>
  <si>
    <t>MT119475.1</t>
  </si>
  <si>
    <t>Bri-210</t>
  </si>
  <si>
    <t>Lassa mammarenavirus strain Bri-210 glycoprotein gene, partial cds</t>
  </si>
  <si>
    <t>MT119569.1</t>
  </si>
  <si>
    <t>Lassa mammarenavirus strain Bri-210 nucleoprotein gene, partial cds</t>
  </si>
  <si>
    <t>MT119476.1</t>
  </si>
  <si>
    <t>Bri-215</t>
  </si>
  <si>
    <t>Lassa mammarenavirus strain Bri-215 glycoprotein gene, partial cds</t>
  </si>
  <si>
    <t>MT119570.1</t>
  </si>
  <si>
    <t>Lassa mammarenavirus strain Bri-215 nucleoprotein gene, partial cds</t>
  </si>
  <si>
    <t>MT119477.1</t>
  </si>
  <si>
    <t>Bri-216</t>
  </si>
  <si>
    <t>Lassa mammarenavirus strain Bri-216 glycoprotein gene, partial cds</t>
  </si>
  <si>
    <t>MT119571.1</t>
  </si>
  <si>
    <t>Lassa mammarenavirus strain Bri-216 nucleoprotein gene, partial cds</t>
  </si>
  <si>
    <t>MT119478.1</t>
  </si>
  <si>
    <t>Bri-221</t>
  </si>
  <si>
    <t>Lassa mammarenavirus strain Bri-221 glycoprotein gene, partial cds</t>
  </si>
  <si>
    <t>MT119572.1</t>
  </si>
  <si>
    <t>Lassa mammarenavirus strain Bri-221 nucleoprotein gene, partial cds</t>
  </si>
  <si>
    <t>MT119479.1</t>
  </si>
  <si>
    <t>Bri-222</t>
  </si>
  <si>
    <t>Lassa mammarenavirus strain Bri-222 glycoprotein gene, partial cds</t>
  </si>
  <si>
    <t>MT119573.1</t>
  </si>
  <si>
    <t>Lassa mammarenavirus strain Bri-222 nucleoprotein gene, partial cds</t>
  </si>
  <si>
    <t>MT119480.1</t>
  </si>
  <si>
    <t>Bri-228</t>
  </si>
  <si>
    <t>Lassa mammarenavirus strain Bri-228 glycoprotein gene, partial cds</t>
  </si>
  <si>
    <t>MT119574.1</t>
  </si>
  <si>
    <t>Lassa mammarenavirus strain Bri-228 nucleoprotein gene, partial cds</t>
  </si>
  <si>
    <t>MT119481.1</t>
  </si>
  <si>
    <t>Bri-229</t>
  </si>
  <si>
    <t>Lassa mammarenavirus strain Bri-229 glycoprotein gene, partial cds</t>
  </si>
  <si>
    <t>MT119575.1</t>
  </si>
  <si>
    <t>Lassa mammarenavirus strain Bri-229 nucleoprotein gene, partial cds</t>
  </si>
  <si>
    <t>MT119463.1</t>
  </si>
  <si>
    <t>Bri-94</t>
  </si>
  <si>
    <t>Lassa mammarenavirus strain Bri-94 glycoprotein gene, partial cds</t>
  </si>
  <si>
    <t>MT119557.1</t>
  </si>
  <si>
    <t>Lassa mammarenavirus strain Bri-94 nucleoprotein gene, partial cds</t>
  </si>
  <si>
    <t>MT119464.1</t>
  </si>
  <si>
    <t>Bri-99</t>
  </si>
  <si>
    <t>Lassa mammarenavirus strain Bri-99 glycoprotein gene, partial cds</t>
  </si>
  <si>
    <t>MT119558.1</t>
  </si>
  <si>
    <t>Lassa mammarenavirus strain Bri-99 nucleoprotein gene, partial cds</t>
  </si>
  <si>
    <t>MN123657.1</t>
  </si>
  <si>
    <t>Bri08</t>
  </si>
  <si>
    <t>Olayemi,A., Adesina,A.S., Strecker,T., Magassouba,N., Fichet-Calvet,E., Adesina,A.</t>
  </si>
  <si>
    <t>2020-02-19T00:00:00Z</t>
  </si>
  <si>
    <t>Lassa mammarenavirus strain Bri08 glycoprotein gene, partial cds</t>
  </si>
  <si>
    <t>KT833205.1</t>
  </si>
  <si>
    <t>AL3-Final</t>
  </si>
  <si>
    <t>Fichet-Calvet,E., Olschlager,S., Strecker,T., Koivogui,L., Becker-Ziaja,B., Camara,A.B., Soropogui,B., Magassouba,N., Gunther,S., Camara,A.</t>
  </si>
  <si>
    <t>2016-02-13T00:00:00Z</t>
  </si>
  <si>
    <t>Lassa mammarenavirus strain Bri08 nucleoprotein gene, partial cds</t>
  </si>
  <si>
    <t>MN123658.1</t>
  </si>
  <si>
    <t>Bri39</t>
  </si>
  <si>
    <t>Lassa mammarenavirus strain Bri39 glycoprotein gene, partial cds</t>
  </si>
  <si>
    <t>KT833206.1</t>
  </si>
  <si>
    <t>Lassa mammarenavirus strain Bri39 nucleoprotein gene, partial cds</t>
  </si>
  <si>
    <t>MT119482.1</t>
  </si>
  <si>
    <t>Dal-10</t>
  </si>
  <si>
    <t>Guinea: Dalafilani</t>
  </si>
  <si>
    <t>Lassa mammarenavirus strain Dal-10 glycoprotein gene, partial cds</t>
  </si>
  <si>
    <t>MT119493.1</t>
  </si>
  <si>
    <t>Dal-100</t>
  </si>
  <si>
    <t>Lassa mammarenavirus strain Dal-100 glycoprotein gene, partial cds</t>
  </si>
  <si>
    <t>MT119585.1</t>
  </si>
  <si>
    <t>Lassa mammarenavirus strain Dal-100 nucleoprotein gene, partial cds</t>
  </si>
  <si>
    <t>MT119494.1</t>
  </si>
  <si>
    <t>Dal-107</t>
  </si>
  <si>
    <t>Lassa mammarenavirus strain Dal-107 glycoprotein gene, partial cds</t>
  </si>
  <si>
    <t>MT119586.1</t>
  </si>
  <si>
    <t>Lassa mammarenavirus strain Dal-107 nucleoprotein gene, partial cds</t>
  </si>
  <si>
    <t>MT119495.1</t>
  </si>
  <si>
    <t>Dal-109</t>
  </si>
  <si>
    <t>Lassa mammarenavirus strain Dal-109 glycoprotein gene, partial cds</t>
  </si>
  <si>
    <t>MT119587.1</t>
  </si>
  <si>
    <t>Lassa mammarenavirus strain Dal-109 nucleoprotein gene, partial cds</t>
  </si>
  <si>
    <t>MT119496.1</t>
  </si>
  <si>
    <t>Dal-110</t>
  </si>
  <si>
    <t>Lassa mammarenavirus strain Dal-110 glycoprotein gene, partial cds</t>
  </si>
  <si>
    <t>MT119588.1</t>
  </si>
  <si>
    <t>Lassa mammarenavirus strain Dal-110 nucleoprotein gene, partial cds</t>
  </si>
  <si>
    <t>MT119497.1</t>
  </si>
  <si>
    <t>Dal-120</t>
  </si>
  <si>
    <t>Lassa mammarenavirus strain Dal-120 glycoprotein gene, partial cds</t>
  </si>
  <si>
    <t>MT119589.1</t>
  </si>
  <si>
    <t>Lassa mammarenavirus strain Dal-120 nucleoprotein gene, partial cds</t>
  </si>
  <si>
    <t>MT119498.1</t>
  </si>
  <si>
    <t>Dal-121</t>
  </si>
  <si>
    <t>Lassa mammarenavirus strain Dal-121 glycoprotein gene, partial cds</t>
  </si>
  <si>
    <t>MT119590.1</t>
  </si>
  <si>
    <t>Lassa mammarenavirus strain Dal-121 nucleoprotein gene, partial cds</t>
  </si>
  <si>
    <t>MT119499.1</t>
  </si>
  <si>
    <t>Dal-125</t>
  </si>
  <si>
    <t>Lassa mammarenavirus strain Dal-125 glycoprotein gene, partial cds</t>
  </si>
  <si>
    <t>MT119591.1</t>
  </si>
  <si>
    <t>Lassa mammarenavirus strain Dal-125 nucleoprotein gene, partial cds</t>
  </si>
  <si>
    <t>MT119500.1</t>
  </si>
  <si>
    <t>Dal-139</t>
  </si>
  <si>
    <t>Lassa mammarenavirus strain Dal-139 glycoprotein gene, partial cds</t>
  </si>
  <si>
    <t>MT119592.1</t>
  </si>
  <si>
    <t>Lassa mammarenavirus strain Dal-139 nucleoprotein gene, partial cds</t>
  </si>
  <si>
    <t>MT119501.1</t>
  </si>
  <si>
    <t>Dal-140</t>
  </si>
  <si>
    <t>Lassa mammarenavirus strain Dal-140 glycoprotein gene, partial cds</t>
  </si>
  <si>
    <t>MT119593.1</t>
  </si>
  <si>
    <t>Lassa mammarenavirus strain Dal-140 nucleoprotein gene, partial cds</t>
  </si>
  <si>
    <t>MT119483.1</t>
  </si>
  <si>
    <t>Dal-29</t>
  </si>
  <si>
    <t>Lassa mammarenavirus strain Dal-29 glycoprotein gene, partial cds</t>
  </si>
  <si>
    <t>MT119576.1</t>
  </si>
  <si>
    <t>Lassa mammarenavirus strain Dal-29 nucleoprotein gene, partial cds</t>
  </si>
  <si>
    <t>MT119484.1</t>
  </si>
  <si>
    <t>Dal-31</t>
  </si>
  <si>
    <t>Lassa mammarenavirus strain Dal-31 glycoprotein gene, partial cds</t>
  </si>
  <si>
    <t>MT119577.1</t>
  </si>
  <si>
    <t>Lassa mammarenavirus strain Dal-31 nucleoprotein gene, partial cds</t>
  </si>
  <si>
    <t>MT119485.1</t>
  </si>
  <si>
    <t>Dal-44</t>
  </si>
  <si>
    <t>Lassa mammarenavirus strain Dal-44 glycoprotein gene, partial cds</t>
  </si>
  <si>
    <t>MT119578.1</t>
  </si>
  <si>
    <t>Lassa mammarenavirus strain Dal-44 nucleoprotein gene, partial cds</t>
  </si>
  <si>
    <t>MT119486.1</t>
  </si>
  <si>
    <t>Dal-46</t>
  </si>
  <si>
    <t>Lassa mammarenavirus strain Dal-46 glycoprotein gene, partial cds</t>
  </si>
  <si>
    <t>MT119579.1</t>
  </si>
  <si>
    <t>Lassa mammarenavirus strain Dal-46 nucleoprotein gene, partial cds</t>
  </si>
  <si>
    <t>MT119487.1</t>
  </si>
  <si>
    <t>Dal-47</t>
  </si>
  <si>
    <t>Lassa mammarenavirus strain Dal-47 glycoprotein gene, partial cds</t>
  </si>
  <si>
    <t>MT119580.1</t>
  </si>
  <si>
    <t>Lassa mammarenavirus strain Dal-47 nucleoprotein gene, partial cds</t>
  </si>
  <si>
    <t>MT119488.1</t>
  </si>
  <si>
    <t>Dal-65</t>
  </si>
  <si>
    <t>Lassa mammarenavirus strain Dal-65 glycoprotein gene, partial cds</t>
  </si>
  <si>
    <t>MT119489.1</t>
  </si>
  <si>
    <t>Dal-77</t>
  </si>
  <si>
    <t>Lassa mammarenavirus strain Dal-77 glycoprotein gene, partial cds</t>
  </si>
  <si>
    <t>MT119581.1</t>
  </si>
  <si>
    <t>Lassa mammarenavirus strain Dal-77 nucleoprotein gene, partial cds</t>
  </si>
  <si>
    <t>MT119490.1</t>
  </si>
  <si>
    <t>Dal-78</t>
  </si>
  <si>
    <t>Lassa mammarenavirus strain Dal-78 glycoprotein gene, partial cds</t>
  </si>
  <si>
    <t>MT119582.1</t>
  </si>
  <si>
    <t>Lassa mammarenavirus strain Dal-78 nucleoprotein gene, partial cds</t>
  </si>
  <si>
    <t>MT119491.1</t>
  </si>
  <si>
    <t>Dal-94</t>
  </si>
  <si>
    <t>Lassa mammarenavirus strain Dal-94 glycoprotein gene, partial cds</t>
  </si>
  <si>
    <t>MT119583.1</t>
  </si>
  <si>
    <t>Lassa mammarenavirus strain Dal-94 nucleoprotein gene, partial cds</t>
  </si>
  <si>
    <t>MT119492.1</t>
  </si>
  <si>
    <t>Dal-97</t>
  </si>
  <si>
    <t>Lassa mammarenavirus strain Dal-97 glycoprotein gene, partial cds</t>
  </si>
  <si>
    <t>MT119584.1</t>
  </si>
  <si>
    <t>Lassa mammarenavirus strain Dal-97 nucleoprotein gene, partial cds</t>
  </si>
  <si>
    <t>MN123659.1</t>
  </si>
  <si>
    <t>Dal02</t>
  </si>
  <si>
    <t>Lassa mammarenavirus strain Dal02 glycoprotein gene, partial cds</t>
  </si>
  <si>
    <t>KT833196.1</t>
  </si>
  <si>
    <t>Lassa mammarenavirus strain Dal02 nucleoprotein gene, partial cds</t>
  </si>
  <si>
    <t>MN123660.1</t>
  </si>
  <si>
    <t>Dal04</t>
  </si>
  <si>
    <t>Lassa mammarenavirus strain Dal04 glycoprotein gene, partial cds</t>
  </si>
  <si>
    <t>KT833197.1</t>
  </si>
  <si>
    <t>Lassa mammarenavirus strain Dal04 nucleoprotein gene, partial cds</t>
  </si>
  <si>
    <t>MN123661.1</t>
  </si>
  <si>
    <t>Dal11</t>
  </si>
  <si>
    <t>Lassa mammarenavirus strain Dal11 glycoprotein gene, partial cds</t>
  </si>
  <si>
    <t>KT833198.1</t>
  </si>
  <si>
    <t>Lassa mammarenavirus strain Dal11 nucleoprotein gene, partial cds</t>
  </si>
  <si>
    <t>MN123662.1</t>
  </si>
  <si>
    <t>Dal17</t>
  </si>
  <si>
    <t>Lassa mammarenavirus strain Dal17 glycoprotein gene, partial cds</t>
  </si>
  <si>
    <t>KT833199.1</t>
  </si>
  <si>
    <t>AL1</t>
  </si>
  <si>
    <t>Lassa mammarenavirus strain Dal17 nucleoprotein gene, partial cds</t>
  </si>
  <si>
    <t>MN123663.1</t>
  </si>
  <si>
    <t>Dal25</t>
  </si>
  <si>
    <t>Lassa mammarenavirus strain Dal25 glycoprotein gene, partial cds</t>
  </si>
  <si>
    <t>KT833200.1</t>
  </si>
  <si>
    <t>Lassa mammarenavirus strain Dal25 nucleoprotein gene, partial cds</t>
  </si>
  <si>
    <t>MN123664.1</t>
  </si>
  <si>
    <t>Dal53</t>
  </si>
  <si>
    <t>Lassa mammarenavirus strain Dal53 glycoprotein gene, partial cds</t>
  </si>
  <si>
    <t>KT833222.1</t>
  </si>
  <si>
    <t>Lassa mammarenavirus strain Dal53 nucleoprotein gene, partial cds</t>
  </si>
  <si>
    <t>MT119512.1</t>
  </si>
  <si>
    <t>Dam-119</t>
  </si>
  <si>
    <t>Guinea: Damania</t>
  </si>
  <si>
    <t>Lassa mammarenavirus strain Dam-119 glycoprotein gene, partial cds</t>
  </si>
  <si>
    <t>MT119598.1</t>
  </si>
  <si>
    <t>Lassa mammarenavirus strain Dam-119 nucleoprotein gene, partial cds</t>
  </si>
  <si>
    <t>MT119513.1</t>
  </si>
  <si>
    <t>Dam-127</t>
  </si>
  <si>
    <t>Lassa mammarenavirus strain Dam-127 glycoprotein gene, partial cds</t>
  </si>
  <si>
    <t>MT119599.1</t>
  </si>
  <si>
    <t>Lassa mammarenavirus strain Dam-127 nucleoprotein gene, partial cds</t>
  </si>
  <si>
    <t>MT119514.1</t>
  </si>
  <si>
    <t>Dam-135</t>
  </si>
  <si>
    <t>Lassa mammarenavirus strain Dam-135 glycoprotein gene, partial cds</t>
  </si>
  <si>
    <t>MT119600.1</t>
  </si>
  <si>
    <t>Lassa mammarenavirus strain Dam-135 nucleoprotein gene, partial cds</t>
  </si>
  <si>
    <t>MT119515.1</t>
  </si>
  <si>
    <t>Dam-151</t>
  </si>
  <si>
    <t>Lassa mammarenavirus strain Dam-151 glycoprotein gene, partial cds</t>
  </si>
  <si>
    <t>MT119601.1</t>
  </si>
  <si>
    <t>Lassa mammarenavirus strain Dam-151 nucleoprotein gene, partial cds</t>
  </si>
  <si>
    <t>MT119516.1</t>
  </si>
  <si>
    <t>Dam-152</t>
  </si>
  <si>
    <t>Lassa mammarenavirus strain Dam-152 glycoprotein gene, partial cds</t>
  </si>
  <si>
    <t>MT119517.1</t>
  </si>
  <si>
    <t>Dam-162</t>
  </si>
  <si>
    <t>Lassa mammarenavirus strain Dam-162 glycoprotein gene, partial cds</t>
  </si>
  <si>
    <t>MT119602.1</t>
  </si>
  <si>
    <t>Lassa mammarenavirus strain Dam-162 nucleoprotein gene, partial cds</t>
  </si>
  <si>
    <t>MT119518.1</t>
  </si>
  <si>
    <t>Dam-163</t>
  </si>
  <si>
    <t>Lassa mammarenavirus strain Dam-163 glycoprotein gene, partial cds</t>
  </si>
  <si>
    <t>MT119603.1</t>
  </si>
  <si>
    <t>Lassa mammarenavirus strain Dam-163 nucleoprotein gene, partial cds</t>
  </si>
  <si>
    <t>MT119519.1</t>
  </si>
  <si>
    <t>Dam-183</t>
  </si>
  <si>
    <t>Lassa mammarenavirus strain Dam-183 glycoprotein gene, partial cds</t>
  </si>
  <si>
    <t>MT119604.1</t>
  </si>
  <si>
    <t>Lassa mammarenavirus strain Dam-183 nucleoprotein gene, partial cds</t>
  </si>
  <si>
    <t>MT119520.1</t>
  </si>
  <si>
    <t>Dam-192</t>
  </si>
  <si>
    <t>Lassa mammarenavirus strain Dam-192 glycoprotein gene, partial cds</t>
  </si>
  <si>
    <t>MT119605.1</t>
  </si>
  <si>
    <t>Lassa mammarenavirus strain Dam-192 nucleoprotein gene, partial cds</t>
  </si>
  <si>
    <t>MT119503.1</t>
  </si>
  <si>
    <t>Dam-29</t>
  </si>
  <si>
    <t>Lassa mammarenavirus strain Dam-29 glycoprotein gene, partial cds</t>
  </si>
  <si>
    <t>MT119504.1</t>
  </si>
  <si>
    <t>Dam-30</t>
  </si>
  <si>
    <t>Lassa mammarenavirus strain Dam-30 glycoprotein gene, partial cds</t>
  </si>
  <si>
    <t>MT119505.1</t>
  </si>
  <si>
    <t>Dam-31</t>
  </si>
  <si>
    <t>Lassa mammarenavirus strain Dam-31 glycoprotein gene, partial cds</t>
  </si>
  <si>
    <t>MT119506.1</t>
  </si>
  <si>
    <t>Dam-54</t>
  </si>
  <si>
    <t>Lassa mammarenavirus strain Dam-54 glycoprotein gene, partial cds</t>
  </si>
  <si>
    <t>MT119594.1</t>
  </si>
  <si>
    <t>Lassa mammarenavirus strain Dam-54 nucleoprotein gene, partial cds</t>
  </si>
  <si>
    <t>MT119507.1</t>
  </si>
  <si>
    <t>Dam-59</t>
  </si>
  <si>
    <t>Lassa mammarenavirus strain Dam-59 glycoprotein gene, partial cds</t>
  </si>
  <si>
    <t>MT119595.1</t>
  </si>
  <si>
    <t>Lassa mammarenavirus strain Dam-59 nucleoprotein gene, partial cds</t>
  </si>
  <si>
    <t>MT119508.1</t>
  </si>
  <si>
    <t>Dam-65</t>
  </si>
  <si>
    <t>Lassa mammarenavirus strain Dam-65 glycoprotein gene, partial cds</t>
  </si>
  <si>
    <t>MT119596.1</t>
  </si>
  <si>
    <t>Lassa mammarenavirus strain Dam-65 nucleoprotein gene, partial cds</t>
  </si>
  <si>
    <t>MT119509.1</t>
  </si>
  <si>
    <t>Dam-67</t>
  </si>
  <si>
    <t>Lassa mammarenavirus strain Dam-67 glycoprotein gene, partial cds</t>
  </si>
  <si>
    <t>MT119510.1</t>
  </si>
  <si>
    <t>Dam-70</t>
  </si>
  <si>
    <t>Lassa mammarenavirus strain Dam-70 glycoprotein gene, partial cds</t>
  </si>
  <si>
    <t>MT119597.1</t>
  </si>
  <si>
    <t>Lassa mammarenavirus strain Dam-70 nucleoprotein gene, partial cds</t>
  </si>
  <si>
    <t>MT119511.1</t>
  </si>
  <si>
    <t>Dam-96</t>
  </si>
  <si>
    <t>Lassa mammarenavirus strain Dam-96 glycoprotein gene, partial cds</t>
  </si>
  <si>
    <t>MN123665.1</t>
  </si>
  <si>
    <t>Dam03</t>
  </si>
  <si>
    <t>Lassa mammarenavirus strain Dam03 glycoprotein gene, partial cds</t>
  </si>
  <si>
    <t>KT833182.1</t>
  </si>
  <si>
    <t>Lassa mammarenavirus strain Dam03 nucleoprotein gene, partial cds</t>
  </si>
  <si>
    <t>MN123666.1</t>
  </si>
  <si>
    <t>Dam05</t>
  </si>
  <si>
    <t>Lassa mammarenavirus strain Dam05 glycoprotein gene, partial cds</t>
  </si>
  <si>
    <t>KT833183.1</t>
  </si>
  <si>
    <t>Lassa mammarenavirus strain Dam05 nucleoprotein gene, partial cds</t>
  </si>
  <si>
    <t>MN123667.1</t>
  </si>
  <si>
    <t>Dam15</t>
  </si>
  <si>
    <t>Lassa mammarenavirus strain Dam15 glycoprotein gene, partial cds</t>
  </si>
  <si>
    <t>KT833184.1</t>
  </si>
  <si>
    <t>Lassa mammarenavirus strain Dam15 nucleoprotein gene, partial cds</t>
  </si>
  <si>
    <t>MN123668.1</t>
  </si>
  <si>
    <t>Dam20</t>
  </si>
  <si>
    <t>Lassa mammarenavirus strain Dam20 glycoprotein gene, partial cds</t>
  </si>
  <si>
    <t>KT833185.1</t>
  </si>
  <si>
    <t>Lassa mammarenavirus strain Dam20 nucleoprotein gene, partial cds</t>
  </si>
  <si>
    <t>MN123669.1</t>
  </si>
  <si>
    <t>Dam38</t>
  </si>
  <si>
    <t>Lassa mammarenavirus strain Dam38 glycoprotein gene, partial cds</t>
  </si>
  <si>
    <t>KT833186.1</t>
  </si>
  <si>
    <t>Lassa mammarenavirus strain Dam38 nucleoprotein gene, partial cds</t>
  </si>
  <si>
    <t>MN123670.1</t>
  </si>
  <si>
    <t>Dam49</t>
  </si>
  <si>
    <t>Lassa mammarenavirus strain Dam49 glycoprotein gene, partial cds</t>
  </si>
  <si>
    <t>KT833187.1</t>
  </si>
  <si>
    <t>Lassa mammarenavirus strain Dam49 nucleoprotein gene, partial cds</t>
  </si>
  <si>
    <t>MN123671.1</t>
  </si>
  <si>
    <t>Dam71</t>
  </si>
  <si>
    <t>Lassa mammarenavirus strain Dam71 glycoprotein gene, partial cds</t>
  </si>
  <si>
    <t>KT833207.1</t>
  </si>
  <si>
    <t>Lassa mammarenavirus strain Dam71 nucleoprotein gene, partial cds</t>
  </si>
  <si>
    <t>MN123672.1</t>
  </si>
  <si>
    <t>Dam72</t>
  </si>
  <si>
    <t>Lassa mammarenavirus strain Dam72 glycoprotein gene, partial cds</t>
  </si>
  <si>
    <t>KT833208.1</t>
  </si>
  <si>
    <t>Lassa mammarenavirus strain Dam72 nucleoprotein gene, partial cds</t>
  </si>
  <si>
    <t>MN123673.1</t>
  </si>
  <si>
    <t>Dam90</t>
  </si>
  <si>
    <t>Lassa mammarenavirus strain Dam90 glycoprotein gene, partial cds</t>
  </si>
  <si>
    <t>KT833209.1</t>
  </si>
  <si>
    <t>Lassa mammarenavirus strain Dam90 nucleoprotein gene, partial cds</t>
  </si>
  <si>
    <t>MN123674.1</t>
  </si>
  <si>
    <t>Dam95</t>
  </si>
  <si>
    <t>Lassa mammarenavirus strain Dam95 glycoprotein gene, partial cds</t>
  </si>
  <si>
    <t>KT833210.1</t>
  </si>
  <si>
    <t>Lassa mammarenavirus strain Dam95 nucleoprotein gene, partial cds</t>
  </si>
  <si>
    <t>MN123655.1</t>
  </si>
  <si>
    <t>DGD-104</t>
  </si>
  <si>
    <t>Guinea: Denguedou</t>
  </si>
  <si>
    <t>Lassa mammarenavirus strain DGD-104 glycoprotein gene, partial cds</t>
  </si>
  <si>
    <t>MN123656.1</t>
  </si>
  <si>
    <t>DGD-112</t>
  </si>
  <si>
    <t>Lassa mammarenavirus strain DGD-112 glycoprotein gene, partial cds</t>
  </si>
  <si>
    <t>MN123652.1</t>
  </si>
  <si>
    <t>DGD-28</t>
  </si>
  <si>
    <t>Lassa mammarenavirus strain DGD-28 glycoprotein gene, partial cds</t>
  </si>
  <si>
    <t>MN123653.1</t>
  </si>
  <si>
    <t>DGD-35</t>
  </si>
  <si>
    <t>Lassa mammarenavirus strain DGD-35 glycoprotein gene, partial cds</t>
  </si>
  <si>
    <t>MN123651.1</t>
  </si>
  <si>
    <t>DGD-4</t>
  </si>
  <si>
    <t>Lassa mammarenavirus strain DGD-4 glycoprotein gene, partial cds</t>
  </si>
  <si>
    <t>MN123654.1</t>
  </si>
  <si>
    <t>DGD-87</t>
  </si>
  <si>
    <t>Lassa mammarenavirus strain DGD-87 glycoprotein gene, partial cds</t>
  </si>
  <si>
    <t>MN123675.1</t>
  </si>
  <si>
    <t>Kho10</t>
  </si>
  <si>
    <t>Guinea: Khoria</t>
  </si>
  <si>
    <t>Lassa mammarenavirus strain Kho10 glycoprotein gene, partial cds</t>
  </si>
  <si>
    <t>KT833193.1</t>
  </si>
  <si>
    <t>Lassa mammarenavirus strain Kho10 nucleoprotein gene, partial cds</t>
  </si>
  <si>
    <t>MN123676.1</t>
  </si>
  <si>
    <t>Kho29</t>
  </si>
  <si>
    <t>Lassa mammarenavirus strain Kho29 glycoprotein gene, partial cds</t>
  </si>
  <si>
    <t>KT833194.1</t>
  </si>
  <si>
    <t>Lassa mammarenavirus strain Kho29 nucleoprotein gene, partial cds</t>
  </si>
  <si>
    <t>MN123677.1</t>
  </si>
  <si>
    <t>Kho30</t>
  </si>
  <si>
    <t>Lassa mammarenavirus strain Kho30 glycoprotein gene, partial cds</t>
  </si>
  <si>
    <t>KT833195.1</t>
  </si>
  <si>
    <t>Lassa mammarenavirus strain Kho30 nucleoprotein gene, partial cds</t>
  </si>
  <si>
    <t>MT861993.1</t>
  </si>
  <si>
    <t>LASV/GUI/KIS-2019</t>
  </si>
  <si>
    <t>both</t>
  </si>
  <si>
    <t>Magassouba,N., Koivogui,E., Conde,S., Kone,M., Koropogui,M., Soropogui,B., Kekoura,I., Hinzmann,J., Guenther,S., Keita,S., Duraffour,S., Fichet-Calvet,E., N'Faly Magassouba,N., Fichet-Calve,E.</t>
  </si>
  <si>
    <t>2020-10-03T00:00:00Z</t>
  </si>
  <si>
    <t>L</t>
  </si>
  <si>
    <t>Guinea: Kissidougou</t>
  </si>
  <si>
    <t>Homo sapiens</t>
  </si>
  <si>
    <t>Lassa mammarenavirus isolate LASV/GUI/KIS-2019 Z protein (Z) gene, partial cds; and polymerase (L) gene, complete cds</t>
  </si>
  <si>
    <t>MT861994.1</t>
  </si>
  <si>
    <t>Lassa mammarenavirus isolate LASV/GUI/KIS-2019 glycoprotein precursor (GPC) and nucleoprotein (NP) genes, complete cds</t>
  </si>
  <si>
    <t>MN123678.1</t>
  </si>
  <si>
    <t>Saf01</t>
  </si>
  <si>
    <t>Guinea: Safrani</t>
  </si>
  <si>
    <t>Lassa mammarenavirus strain Saf01 glycoprotein gene, partial cds</t>
  </si>
  <si>
    <t>KT833203.1</t>
  </si>
  <si>
    <t>Lassa mammarenavirus strain Saf01 nucleoprotein gene, partial cds</t>
  </si>
  <si>
    <t>MN123679.1</t>
  </si>
  <si>
    <t>Sil03</t>
  </si>
  <si>
    <t>Coordinates must be updated in metadata of AL3</t>
  </si>
  <si>
    <t>Guinea: Silimi</t>
  </si>
  <si>
    <t>Updated from Elisabeths paper: Spatial and temporal evolution of Lassa virus in the natural host population in Upper Guinea</t>
  </si>
  <si>
    <t>Lassa mammarenavirus strain Sil03 glycoprotein gene, partial cds</t>
  </si>
  <si>
    <t>KT833204.1</t>
  </si>
  <si>
    <t>Lassa mammarenavirus strain Sil03 nucleoprotein gene, partial cds</t>
  </si>
  <si>
    <t>MT119533.1</t>
  </si>
  <si>
    <t>Sok-103</t>
  </si>
  <si>
    <t>Guinea: Sokourala</t>
  </si>
  <si>
    <t>Lassa mammarenavirus strain Sok-103 glycoprotein gene, partial cds</t>
  </si>
  <si>
    <t>MT119618.1</t>
  </si>
  <si>
    <t>Lassa mammarenavirus strain Sok-103 nucleoprotein gene, partial cds</t>
  </si>
  <si>
    <t>MT119534.1</t>
  </si>
  <si>
    <t>Sok-104</t>
  </si>
  <si>
    <t>Lassa mammarenavirus strain Sok-104 glycoprotein gene, partial cds</t>
  </si>
  <si>
    <t>MT119619.1</t>
  </si>
  <si>
    <t>Lassa mammarenavirus strain Sok-104 nucleoprotein gene, partial cds</t>
  </si>
  <si>
    <t>MT119521.1</t>
  </si>
  <si>
    <t>Sok-22</t>
  </si>
  <si>
    <t>Lassa mammarenavirus strain Sok-22 glycoprotein gene, partial cds</t>
  </si>
  <si>
    <t>MT119606.1</t>
  </si>
  <si>
    <t>Lassa mammarenavirus strain Sok-22 nucleoprotein gene, partial cds</t>
  </si>
  <si>
    <t>MT119522.1</t>
  </si>
  <si>
    <t>Sok-34</t>
  </si>
  <si>
    <t>Lassa mammarenavirus strain Sok-34 glycoprotein gene, partial cds</t>
  </si>
  <si>
    <t>MT119607.1</t>
  </si>
  <si>
    <t>Lassa mammarenavirus strain Sok-34 nucleoprotein gene, partial cds</t>
  </si>
  <si>
    <t>MT119523.1</t>
  </si>
  <si>
    <t>Sok-37</t>
  </si>
  <si>
    <t>Lassa mammarenavirus strain Sok-37 glycoprotein gene, partial cds</t>
  </si>
  <si>
    <t>MT119608.1</t>
  </si>
  <si>
    <t>Lassa mammarenavirus strain Sok-37 nucleoprotein gene, partial cds</t>
  </si>
  <si>
    <t>MT119524.1</t>
  </si>
  <si>
    <t>Sok-41</t>
  </si>
  <si>
    <t>Lassa mammarenavirus strain Sok-41 glycoprotein gene, partial cds</t>
  </si>
  <si>
    <t>MT119609.1</t>
  </si>
  <si>
    <t>Lassa mammarenavirus strain Sok-41 nucleoprotein gene, partial cds</t>
  </si>
  <si>
    <t>MT119525.1</t>
  </si>
  <si>
    <t>Sok-42</t>
  </si>
  <si>
    <t>Lassa mammarenavirus strain Sok-42 glycoprotein gene, partial cds</t>
  </si>
  <si>
    <t>MT119610.1</t>
  </si>
  <si>
    <t>Lassa mammarenavirus strain Sok-42 nucleoprotein gene, partial cds</t>
  </si>
  <si>
    <t>MT119526.1</t>
  </si>
  <si>
    <t>Sok-49</t>
  </si>
  <si>
    <t>Lassa mammarenavirus strain Sok-49 glycoprotein gene, partial cds</t>
  </si>
  <si>
    <t>MT119611.1</t>
  </si>
  <si>
    <t>Lassa mammarenavirus strain Sok-49 nucleoprotein gene, partial cds</t>
  </si>
  <si>
    <t>MT119527.1</t>
  </si>
  <si>
    <t>Sok-58</t>
  </si>
  <si>
    <t>Lassa mammarenavirus strain Sok-58 glycoprotein gene, partial cds</t>
  </si>
  <si>
    <t>MT119612.1</t>
  </si>
  <si>
    <t>Lassa mammarenavirus strain Sok-58 nucleoprotein gene, partial cds</t>
  </si>
  <si>
    <t>MT119528.1</t>
  </si>
  <si>
    <t>Sok-62</t>
  </si>
  <si>
    <t>Lassa mammarenavirus strain Sok-62 glycoprotein gene, partial cds</t>
  </si>
  <si>
    <t>MT119613.1</t>
  </si>
  <si>
    <t>Lassa mammarenavirus strain Sok-62 nucleoprotein gene, partial cds</t>
  </si>
  <si>
    <t>MT119529.1</t>
  </si>
  <si>
    <t>Sok-68</t>
  </si>
  <si>
    <t>Lassa mammarenavirus strain Sok-68 glycoprotein gene, partial cds</t>
  </si>
  <si>
    <t>MT119614.1</t>
  </si>
  <si>
    <t>Lassa mammarenavirus strain Sok-68 nucleoprotein gene, partial cds</t>
  </si>
  <si>
    <t>MT119530.1</t>
  </si>
  <si>
    <t>Sok-76</t>
  </si>
  <si>
    <t>Lassa mammarenavirus strain Sok-76 glycoprotein gene, partial cds</t>
  </si>
  <si>
    <t>MT119615.1</t>
  </si>
  <si>
    <t>Lassa mammarenavirus strain Sok-76 nucleoprotein gene, partial cds</t>
  </si>
  <si>
    <t>MT119531.1</t>
  </si>
  <si>
    <t>Sok-77</t>
  </si>
  <si>
    <t>Lassa mammarenavirus strain Sok-77 glycoprotein gene, partial cds</t>
  </si>
  <si>
    <t>MT119616.1</t>
  </si>
  <si>
    <t>Lassa mammarenavirus strain Sok-77 nucleoprotein gene, partial cds</t>
  </si>
  <si>
    <t>MT119532.1</t>
  </si>
  <si>
    <t>Sok-95</t>
  </si>
  <si>
    <t xml:space="preserve">&lt;500nt - NP counterpart exists but both together are &lt;1000nt - however given that threshold is 500 for a segment then combined the two genes overcome this </t>
  </si>
  <si>
    <t>Lassa mammarenavirus strain Sok-95 glycoprotein gene, partial cds</t>
  </si>
  <si>
    <t>MT119617.1</t>
  </si>
  <si>
    <t>Lassa mammarenavirus strain Sok-95 nucleoprotein gene, partial cds</t>
  </si>
  <si>
    <t>MN123680.1</t>
  </si>
  <si>
    <t>Sok07</t>
  </si>
  <si>
    <t>Lassa mammarenavirus strain Sok07 glycoprotein gene, partial cds</t>
  </si>
  <si>
    <t>KT833175.1</t>
  </si>
  <si>
    <t>Lassa mammarenavirus strain Sok07 nucleoprotein gene, partial cds</t>
  </si>
  <si>
    <t>MN123681.1</t>
  </si>
  <si>
    <t>Sok10</t>
  </si>
  <si>
    <t>Lassa mammarenavirus strain Sok10 glycoprotein gene, partial cds</t>
  </si>
  <si>
    <t>KT833176.1</t>
  </si>
  <si>
    <t>Lassa mammarenavirus strain Sok10 nucleoprotein gene, partial cds</t>
  </si>
  <si>
    <t>MN123682.1</t>
  </si>
  <si>
    <t>Sok18</t>
  </si>
  <si>
    <t>Lassa mammarenavirus strain Sok18 glycoprotein gene, partial cds</t>
  </si>
  <si>
    <t>KT833177.1</t>
  </si>
  <si>
    <t>Lassa mammarenavirus strain Sok18 nucleoprotein gene, partial cds</t>
  </si>
  <si>
    <t>MN123683.1</t>
  </si>
  <si>
    <t>Sok21</t>
  </si>
  <si>
    <t>Lassa mammarenavirus strain Sok21 glycoprotein gene, partial cds</t>
  </si>
  <si>
    <t>KT833178.1</t>
  </si>
  <si>
    <t>Lassa mammarenavirus strain Sok21 nucleoprotein gene, partial cds</t>
  </si>
  <si>
    <t>MN123684.1</t>
  </si>
  <si>
    <t>Sok32</t>
  </si>
  <si>
    <t>Lassa mammarenavirus strain Sok32 glycoprotein gene, partial cds</t>
  </si>
  <si>
    <t>KT833180.1</t>
  </si>
  <si>
    <t>Lassa mammarenavirus strain Sok32 nucleoprotein gene, partial cds</t>
  </si>
  <si>
    <t>MN123685.1</t>
  </si>
  <si>
    <t>Sok40</t>
  </si>
  <si>
    <t>Lassa mammarenavirus strain Sok40 glycoprotein gene, partial cds</t>
  </si>
  <si>
    <t>KT833211.1</t>
  </si>
  <si>
    <t>Lassa mammarenavirus strain Sok40 nucleoprotein gene, partial cds</t>
  </si>
  <si>
    <t>MN123686.1</t>
  </si>
  <si>
    <t>Sok44</t>
  </si>
  <si>
    <t>Lassa mammarenavirus strain Sok44 glycoprotein gene, partial cds</t>
  </si>
  <si>
    <t>KT833212.1</t>
  </si>
  <si>
    <t>Lassa mammarenavirus strain Sok44 nucleoprotein gene, partial cds</t>
  </si>
  <si>
    <t>MN123687.1</t>
  </si>
  <si>
    <t>Sok51</t>
  </si>
  <si>
    <t>Lassa mammarenavirus strain Sok51 glycoprotein gene, partial cds</t>
  </si>
  <si>
    <t>KT833213.1</t>
  </si>
  <si>
    <t>Lassa mammarenavirus strain Sok51 nucleoprotein gene, partial cds</t>
  </si>
  <si>
    <t>MN123688.1</t>
  </si>
  <si>
    <t>Sok61</t>
  </si>
  <si>
    <t>Lassa mammarenavirus strain Sok61 glycoprotein gene, partial cds</t>
  </si>
  <si>
    <t>KT833214.1</t>
  </si>
  <si>
    <t>Lassa mammarenavirus strain Sok61 nucleoprotein gene, partial cds</t>
  </si>
  <si>
    <t>MN123689.1</t>
  </si>
  <si>
    <t>Sok75</t>
  </si>
  <si>
    <t>Lassa mammarenavirus strain Sok75 glycoprotein gene, partial cds</t>
  </si>
  <si>
    <t>KT833216.1</t>
  </si>
  <si>
    <t>Lassa mammarenavirus strain Sok75 nucleoprotein gene, partial cds</t>
  </si>
  <si>
    <t>MT119537.1</t>
  </si>
  <si>
    <t>Son-105</t>
  </si>
  <si>
    <t>Guinea: Sonkonia</t>
  </si>
  <si>
    <t>Lassa mammarenavirus strain Son-105 glycoprotein gene, partial cds</t>
  </si>
  <si>
    <t>MT119622.1</t>
  </si>
  <si>
    <t>Lassa mammarenavirus strain Son-105 nucleoprotein gene, partial cds</t>
  </si>
  <si>
    <t>MT119538.1</t>
  </si>
  <si>
    <t>Son-116</t>
  </si>
  <si>
    <t>Lassa mammarenavirus strain Son-116 glycoprotein gene, partial cds</t>
  </si>
  <si>
    <t>MT119623.1</t>
  </si>
  <si>
    <t>Lassa mammarenavirus strain Son-116 nucleoprotein gene, partial cds</t>
  </si>
  <si>
    <t>MT119539.1</t>
  </si>
  <si>
    <t>Son-124</t>
  </si>
  <si>
    <t>Lassa mammarenavirus strain Son-124 glycoprotein gene, partial cds</t>
  </si>
  <si>
    <t>MT119624.1</t>
  </si>
  <si>
    <t>Lassa mammarenavirus strain Son-124 nucleoprotein gene, partial cds</t>
  </si>
  <si>
    <t>MT119540.1</t>
  </si>
  <si>
    <t>Son-133</t>
  </si>
  <si>
    <t>Lassa mammarenavirus strain Son-133 glycoprotein gene, partial cds</t>
  </si>
  <si>
    <t>MT119625.1</t>
  </si>
  <si>
    <t>Lassa mammarenavirus strain Son-133 nucleoprotein gene, partial cds</t>
  </si>
  <si>
    <t>MT119541.1</t>
  </si>
  <si>
    <t>Son-140</t>
  </si>
  <si>
    <t>Lassa mammarenavirus strain Son-140 glycoprotein gene, partial cds</t>
  </si>
  <si>
    <t>MT119626.1</t>
  </si>
  <si>
    <t>Lassa mammarenavirus strain Son-140 nucleoprotein gene, partial cds</t>
  </si>
  <si>
    <t>MT119542.1</t>
  </si>
  <si>
    <t>Son-146</t>
  </si>
  <si>
    <t>Lassa mammarenavirus strain Son-146 glycoprotein gene, partial cds</t>
  </si>
  <si>
    <t>MT119627.1</t>
  </si>
  <si>
    <t>Lassa mammarenavirus strain Son-146 nucleoprotein gene, partial cds</t>
  </si>
  <si>
    <t>MT119543.1</t>
  </si>
  <si>
    <t>Son-193</t>
  </si>
  <si>
    <t>Lassa mammarenavirus strain Son-193 glycoprotein gene, partial cds</t>
  </si>
  <si>
    <t>MT119628.1</t>
  </si>
  <si>
    <t>Lassa mammarenavirus strain Son-193 nucleoprotein gene, partial cds</t>
  </si>
  <si>
    <t>MT119544.1</t>
  </si>
  <si>
    <t>Son-197</t>
  </si>
  <si>
    <t>Lassa mammarenavirus strain Son-197 glycoprotein gene, partial cds</t>
  </si>
  <si>
    <t>MT119629.1</t>
  </si>
  <si>
    <t>Lassa mammarenavirus strain Son-197 nucleoprotein gene, partial cds</t>
  </si>
  <si>
    <t>MT119545.1</t>
  </si>
  <si>
    <t>Son-198</t>
  </si>
  <si>
    <t>Lassa mammarenavirus strain Son-198 glycoprotein gene, partial cds</t>
  </si>
  <si>
    <t>MT119630.1</t>
  </si>
  <si>
    <t>Lassa mammarenavirus strain Son-198 nucleoprotein gene, partial cds</t>
  </si>
  <si>
    <t>MT119546.1</t>
  </si>
  <si>
    <t>Son-211</t>
  </si>
  <si>
    <t>Lassa mammarenavirus strain Son-211 glycoprotein gene, partial cds</t>
  </si>
  <si>
    <t>MT119631.1</t>
  </si>
  <si>
    <t>Lassa mammarenavirus strain Son-211 nucleoprotein gene, partial cds</t>
  </si>
  <si>
    <t>MT119535.1</t>
  </si>
  <si>
    <t>Son-29</t>
  </si>
  <si>
    <t>Lassa mammarenavirus strain Son-29 glycoprotein gene, partial cds</t>
  </si>
  <si>
    <t>MT119620.1</t>
  </si>
  <si>
    <t>Lassa mammarenavirus strain Son-29 nucleoprotein gene, partial cds</t>
  </si>
  <si>
    <t>MT119536.1</t>
  </si>
  <si>
    <t>Son-69</t>
  </si>
  <si>
    <t>Lassa mammarenavirus strain Son-69 glycoprotein gene, partial cds</t>
  </si>
  <si>
    <t>MT119621.1</t>
  </si>
  <si>
    <t>Lassa mammarenavirus strain Son-69 nucleoprotein gene, partial cds</t>
  </si>
  <si>
    <t>MN123691.1</t>
  </si>
  <si>
    <t>Son109</t>
  </si>
  <si>
    <t>Lassa mammarenavirus strain Son109 glycoprotein gene, partial cds</t>
  </si>
  <si>
    <t>KT833220.1</t>
  </si>
  <si>
    <t>Lassa mammarenavirus strain Son109 nucleoprotein gene, partial cds</t>
  </si>
  <si>
    <t>MN123690.1</t>
  </si>
  <si>
    <t>Son85</t>
  </si>
  <si>
    <t>Lassa mammarenavirus strain Son85 glycoprotein gene, partial cds</t>
  </si>
  <si>
    <t>KT833219.1</t>
  </si>
  <si>
    <t>Lassa mammarenavirus strain Son85 nucleoprotein gene, partial cds</t>
  </si>
  <si>
    <t>MT119547.1</t>
  </si>
  <si>
    <t>Yar-09</t>
  </si>
  <si>
    <t>Guinea: Yarawalia</t>
  </si>
  <si>
    <t>Lassa mammarenavirus strain Yar-09 glycoprotein gene, partial cds</t>
  </si>
  <si>
    <t>MT119632.1</t>
  </si>
  <si>
    <t>Lassa mammarenavirus strain Yar-09 nucleoprotein gene, partial cds</t>
  </si>
  <si>
    <t>MT119552.1</t>
  </si>
  <si>
    <t>Yar-130</t>
  </si>
  <si>
    <t>Lassa mammarenavirus strain Yar-130 glycoprotein gene, partial cds</t>
  </si>
  <si>
    <t>MT119636.1</t>
  </si>
  <si>
    <t>Lassa mammarenavirus strain Yar-130 nucleoprotein gene, partial cds</t>
  </si>
  <si>
    <t>MT119553.1</t>
  </si>
  <si>
    <t>Yar-151</t>
  </si>
  <si>
    <t>Lassa mammarenavirus strain Yar-151 glycoprotein gene, partial cds</t>
  </si>
  <si>
    <t>MT119637.1</t>
  </si>
  <si>
    <t>Lassa mammarenavirus strain Yar-151 nucleoprotein gene, partial cds</t>
  </si>
  <si>
    <t>MT119548.1</t>
  </si>
  <si>
    <t>Yar-17</t>
  </si>
  <si>
    <t>Lassa mammarenavirus strain Yar-17 glycoprotein gene, partial cds</t>
  </si>
  <si>
    <t>MT119554.1</t>
  </si>
  <si>
    <t>Yar-185</t>
  </si>
  <si>
    <t>Lassa mammarenavirus strain Yar-185 glycoprotein gene, partial cds</t>
  </si>
  <si>
    <t>MT119638.1</t>
  </si>
  <si>
    <t>Lassa mammarenavirus strain Yar-185 nucleoprotein gene, partial cds</t>
  </si>
  <si>
    <t>MT119555.1</t>
  </si>
  <si>
    <t>Yar-194</t>
  </si>
  <si>
    <t>Lassa mammarenavirus strain Yar-194 glycoprotein gene, partial cds</t>
  </si>
  <si>
    <t>MT119639.1</t>
  </si>
  <si>
    <t>Lassa mammarenavirus strain Yar-194 nucleoprotein gene, partial cds</t>
  </si>
  <si>
    <t>MT119556.1</t>
  </si>
  <si>
    <t>Yar-217</t>
  </si>
  <si>
    <t>Lassa mammarenavirus strain Yar-217 glycoprotein gene, partial cds</t>
  </si>
  <si>
    <t>MT119640.1</t>
  </si>
  <si>
    <t>Lassa mammarenavirus strain Yar-217 nucleoprotein gene, partial cds</t>
  </si>
  <si>
    <t>MT119549.1</t>
  </si>
  <si>
    <t>Yar-33</t>
  </si>
  <si>
    <t>Lassa mammarenavirus strain Yar-33 glycoprotein gene, partial cds</t>
  </si>
  <si>
    <t>MT119633.1</t>
  </si>
  <si>
    <t>Lassa mammarenavirus strain Yar-33 nucleoprotein gene, partial cds</t>
  </si>
  <si>
    <t>MT119550.1</t>
  </si>
  <si>
    <t>Yar-51</t>
  </si>
  <si>
    <t>Lassa mammarenavirus strain Yar-51 glycoprotein gene, partial cds</t>
  </si>
  <si>
    <t>MT119634.1</t>
  </si>
  <si>
    <t>Lassa mammarenavirus strain Yar-51 nucleoprotein gene, partial cds</t>
  </si>
  <si>
    <t>MT119551.1</t>
  </si>
  <si>
    <t>Yar-62</t>
  </si>
  <si>
    <t>Lassa mammarenavirus strain Yar-62 glycoprotein gene, partial cds</t>
  </si>
  <si>
    <t>MT119635.1</t>
  </si>
  <si>
    <t>Lassa mammarenavirus strain Yar-62 nucleoprotein gene, partial cds</t>
  </si>
  <si>
    <t>MN123692.1</t>
  </si>
  <si>
    <t>Yar14</t>
  </si>
  <si>
    <t>Lassa mammarenavirus strain Yar14 glycoprotein gene, partial cds</t>
  </si>
  <si>
    <t>KT833188.1</t>
  </si>
  <si>
    <t>Lassa mammarenavirus strain Yar14 nucleoprotein gene, partial cds</t>
  </si>
  <si>
    <t>MN123693.1</t>
  </si>
  <si>
    <t>Yar20</t>
  </si>
  <si>
    <t>Lassa mammarenavirus strain Yar20 glycoprotein gene, partial cds</t>
  </si>
  <si>
    <t>KT833189.1</t>
  </si>
  <si>
    <t>Lassa mammarenavirus strain Yar20 nucleoprotein gene, partial cds</t>
  </si>
  <si>
    <t>MN123694.1</t>
  </si>
  <si>
    <t>Yar24</t>
  </si>
  <si>
    <t>Lassa mammarenavirus strain Yar24 glycoprotein gene, partial cds</t>
  </si>
  <si>
    <t>KT833190.1</t>
  </si>
  <si>
    <t>Lassa mammarenavirus strain Yar24 nucleoprotein gene, partial cds</t>
  </si>
  <si>
    <t>MN123695.1</t>
  </si>
  <si>
    <t>Yar36</t>
  </si>
  <si>
    <t>Lassa mammarenavirus strain Yar36 glycoprotein gene, partial cds</t>
  </si>
  <si>
    <t>KT833191.1</t>
  </si>
  <si>
    <t>Lassa mammarenavirus strain Yar36 nucleoprotein gene, partial cds</t>
  </si>
  <si>
    <t>MN123696.1</t>
  </si>
  <si>
    <t>Yar46</t>
  </si>
  <si>
    <t>Lassa mammarenavirus strain Yar46 glycoprotein gene, partial cds</t>
  </si>
  <si>
    <t>KT833192.1</t>
  </si>
  <si>
    <t>Lassa mammarenavirus strain Yar46 nucleoprotein gene, partial cds</t>
  </si>
  <si>
    <t>MW039388.1</t>
  </si>
  <si>
    <t>NYA-44</t>
  </si>
  <si>
    <t>Bangura,U., Buanie,J., Lamin,J., Davis,C., Bongo,G.N., Dawson,M., Ansumana,R., Sondufu,D., Thomson,E.C., Sahr,F., Fichet-Calvet,E., Thomson,E.</t>
  </si>
  <si>
    <t>2021-02-08T00:00:00Z</t>
  </si>
  <si>
    <t>Sierra Leone: Nyandeyama</t>
  </si>
  <si>
    <t>-11,19747</t>
  </si>
  <si>
    <t>google maps</t>
  </si>
  <si>
    <t>Lassa mammarenavirus strain NYA-44 glycoprotein precursor (GPC) and nucleoprotein (NP) genes, partial cds</t>
  </si>
  <si>
    <t>MW039389.1</t>
  </si>
  <si>
    <t>YAK-02</t>
  </si>
  <si>
    <t>Sierra Leone: Yakaji</t>
  </si>
  <si>
    <t>7,97350</t>
  </si>
  <si>
    <t>-11,39484</t>
  </si>
  <si>
    <t>Lassa mammarenavirus strain YAK-02 glycoprotein precursor (GPC) and nucleoprotein (NP) genes, partial cds</t>
  </si>
  <si>
    <t>MW039390.1</t>
  </si>
  <si>
    <t>YAK-08</t>
  </si>
  <si>
    <t>Lassa mammarenavirus strain YAK-08 glycoprotein precursor (GPC) and nucleoprotein (NP) genes, partial cds</t>
  </si>
  <si>
    <t>MW039391.1</t>
  </si>
  <si>
    <t>YAK-20</t>
  </si>
  <si>
    <t>Lassa mammarenavirus strain YAK-20 glycoprotein precursor (GPC) and nucleoprotein (NP) genes, complete cds</t>
  </si>
  <si>
    <t>MT119465</t>
  </si>
  <si>
    <t>MT119559</t>
  </si>
  <si>
    <t>MT119466</t>
  </si>
  <si>
    <t>MT119560</t>
  </si>
  <si>
    <t>MT119467</t>
  </si>
  <si>
    <t>MT119561</t>
  </si>
  <si>
    <t>MT119468</t>
  </si>
  <si>
    <t>MT119562</t>
  </si>
  <si>
    <t>MT119469</t>
  </si>
  <si>
    <t>MT119563</t>
  </si>
  <si>
    <t>MT119470</t>
  </si>
  <si>
    <t>MT119564</t>
  </si>
  <si>
    <t>MT119471</t>
  </si>
  <si>
    <t>MT119565</t>
  </si>
  <si>
    <t>MT119472</t>
  </si>
  <si>
    <t>MT119566</t>
  </si>
  <si>
    <t>MT119473</t>
  </si>
  <si>
    <t>MT119567</t>
  </si>
  <si>
    <t>MT119474</t>
  </si>
  <si>
    <t>MT119568</t>
  </si>
  <si>
    <t>MT119475</t>
  </si>
  <si>
    <t>MT119569</t>
  </si>
  <si>
    <t>MT119476</t>
  </si>
  <si>
    <t>MT119570</t>
  </si>
  <si>
    <t>MT119477</t>
  </si>
  <si>
    <t>MT119571</t>
  </si>
  <si>
    <t>MT119478</t>
  </si>
  <si>
    <t>MT119572</t>
  </si>
  <si>
    <t>MT119479</t>
  </si>
  <si>
    <t>MT119573</t>
  </si>
  <si>
    <t>MT119480</t>
  </si>
  <si>
    <t>MT119574</t>
  </si>
  <si>
    <t>MT119481</t>
  </si>
  <si>
    <t>MT119575</t>
  </si>
  <si>
    <t>MT119463</t>
  </si>
  <si>
    <t>MT119557</t>
  </si>
  <si>
    <t>MT119464</t>
  </si>
  <si>
    <t>MT119558</t>
  </si>
  <si>
    <t>MN123657</t>
  </si>
  <si>
    <t>KT833205</t>
  </si>
  <si>
    <t>MN123658</t>
  </si>
  <si>
    <t>KT833206</t>
  </si>
  <si>
    <t>MT119482</t>
  </si>
  <si>
    <t>MT119493</t>
  </si>
  <si>
    <t>MT119585</t>
  </si>
  <si>
    <t>MT119494</t>
  </si>
  <si>
    <t>MT119586</t>
  </si>
  <si>
    <t>MT119495</t>
  </si>
  <si>
    <t>MT119587</t>
  </si>
  <si>
    <t>MT119496</t>
  </si>
  <si>
    <t>MT119588</t>
  </si>
  <si>
    <t>MT119497</t>
  </si>
  <si>
    <t>MT119589</t>
  </si>
  <si>
    <t>MT119498</t>
  </si>
  <si>
    <t>MT119590</t>
  </si>
  <si>
    <t>MT119499</t>
  </si>
  <si>
    <t>MT119591</t>
  </si>
  <si>
    <t>MT119500</t>
  </si>
  <si>
    <t>MT119592</t>
  </si>
  <si>
    <t>MT119501</t>
  </si>
  <si>
    <t>MT119593</t>
  </si>
  <si>
    <t>MT119483</t>
  </si>
  <si>
    <t>MT119576</t>
  </si>
  <si>
    <t>MT119484</t>
  </si>
  <si>
    <t>MT119577</t>
  </si>
  <si>
    <t>MT119485</t>
  </si>
  <si>
    <t>MT119578</t>
  </si>
  <si>
    <t>MT119486</t>
  </si>
  <si>
    <t>MT119579</t>
  </si>
  <si>
    <t>MT119487</t>
  </si>
  <si>
    <t>MT119580</t>
  </si>
  <si>
    <t>MT119488</t>
  </si>
  <si>
    <t>MT119489</t>
  </si>
  <si>
    <t>MT119581</t>
  </si>
  <si>
    <t>MT119490</t>
  </si>
  <si>
    <t>MT119582</t>
  </si>
  <si>
    <t>MT119491</t>
  </si>
  <si>
    <t>MT119583</t>
  </si>
  <si>
    <t>MT119492</t>
  </si>
  <si>
    <t>MT119584</t>
  </si>
  <si>
    <t>MN123659</t>
  </si>
  <si>
    <t>KT833196</t>
  </si>
  <si>
    <t>MN123660</t>
  </si>
  <si>
    <t>KT833197</t>
  </si>
  <si>
    <t>MN123661</t>
  </si>
  <si>
    <t>KT833198</t>
  </si>
  <si>
    <t>MN123662</t>
  </si>
  <si>
    <t>KT833199</t>
  </si>
  <si>
    <t>MN123663</t>
  </si>
  <si>
    <t>KT833200</t>
  </si>
  <si>
    <t>MN123664</t>
  </si>
  <si>
    <t>KT833222</t>
  </si>
  <si>
    <t>MT119512</t>
  </si>
  <si>
    <t>MT119598</t>
  </si>
  <si>
    <t>MT119513</t>
  </si>
  <si>
    <t>MT119599</t>
  </si>
  <si>
    <t>MT119514</t>
  </si>
  <si>
    <t>MT119600</t>
  </si>
  <si>
    <t>MT119515</t>
  </si>
  <si>
    <t>MT119601</t>
  </si>
  <si>
    <t>MT119516</t>
  </si>
  <si>
    <t>MT119517</t>
  </si>
  <si>
    <t>MT119602</t>
  </si>
  <si>
    <t>MT119518</t>
  </si>
  <si>
    <t>MT119603</t>
  </si>
  <si>
    <t>MT119519</t>
  </si>
  <si>
    <t>MT119604</t>
  </si>
  <si>
    <t>MT119520</t>
  </si>
  <si>
    <t>MT119605</t>
  </si>
  <si>
    <t>MT119503</t>
  </si>
  <si>
    <t>MT119504</t>
  </si>
  <si>
    <t>MT119505</t>
  </si>
  <si>
    <t>MT119506</t>
  </si>
  <si>
    <t>MT119594</t>
  </si>
  <si>
    <t>MT119507</t>
  </si>
  <si>
    <t>MT119595</t>
  </si>
  <si>
    <t>MT119508</t>
  </si>
  <si>
    <t>MT119596</t>
  </si>
  <si>
    <t>MT119509</t>
  </si>
  <si>
    <t>MT119510</t>
  </si>
  <si>
    <t>MT119597</t>
  </si>
  <si>
    <t>MT119511</t>
  </si>
  <si>
    <t>MN123665</t>
  </si>
  <si>
    <t>KT833182</t>
  </si>
  <si>
    <t>MN123666</t>
  </si>
  <si>
    <t>KT833183</t>
  </si>
  <si>
    <t>MN123667</t>
  </si>
  <si>
    <t>KT833184</t>
  </si>
  <si>
    <t>MN123668</t>
  </si>
  <si>
    <t>KT833185</t>
  </si>
  <si>
    <t>MN123669</t>
  </si>
  <si>
    <t>KT833186</t>
  </si>
  <si>
    <t>MN123670</t>
  </si>
  <si>
    <t>KT833187</t>
  </si>
  <si>
    <t>MN123671</t>
  </si>
  <si>
    <t>KT833207</t>
  </si>
  <si>
    <t>MN123672</t>
  </si>
  <si>
    <t>KT833208</t>
  </si>
  <si>
    <t>MN123673</t>
  </si>
  <si>
    <t>KT833209</t>
  </si>
  <si>
    <t>MN123674</t>
  </si>
  <si>
    <t>KT833210</t>
  </si>
  <si>
    <t>MN123655</t>
  </si>
  <si>
    <t>MN123656</t>
  </si>
  <si>
    <t>MN123652</t>
  </si>
  <si>
    <t>MN123653</t>
  </si>
  <si>
    <t>MN123651</t>
  </si>
  <si>
    <t>MN123654</t>
  </si>
  <si>
    <t>MN123675</t>
  </si>
  <si>
    <t>KT833193</t>
  </si>
  <si>
    <t>MN123676</t>
  </si>
  <si>
    <t>KT833194</t>
  </si>
  <si>
    <t>MN123677</t>
  </si>
  <si>
    <t>KT833195</t>
  </si>
  <si>
    <t>MT861993</t>
  </si>
  <si>
    <t>MT861994</t>
  </si>
  <si>
    <t>MN123678</t>
  </si>
  <si>
    <t>KT833203</t>
  </si>
  <si>
    <t>MN123679</t>
  </si>
  <si>
    <t>KT833204</t>
  </si>
  <si>
    <t>MT119533</t>
  </si>
  <si>
    <t>MT119618</t>
  </si>
  <si>
    <t>MT119534</t>
  </si>
  <si>
    <t>MT119619</t>
  </si>
  <si>
    <t>MT119521</t>
  </si>
  <si>
    <t>MT119606</t>
  </si>
  <si>
    <t>MT119522</t>
  </si>
  <si>
    <t>MT119607</t>
  </si>
  <si>
    <t>MT119523</t>
  </si>
  <si>
    <t>MT119608</t>
  </si>
  <si>
    <t>MT119524</t>
  </si>
  <si>
    <t>MT119609</t>
  </si>
  <si>
    <t>MT119525</t>
  </si>
  <si>
    <t>MT119610</t>
  </si>
  <si>
    <t>MT119526</t>
  </si>
  <si>
    <t>MT119611</t>
  </si>
  <si>
    <t>MT119527</t>
  </si>
  <si>
    <t>MT119612</t>
  </si>
  <si>
    <t>MT119528</t>
  </si>
  <si>
    <t>MT119613</t>
  </si>
  <si>
    <t>MT119529</t>
  </si>
  <si>
    <t>MT119614</t>
  </si>
  <si>
    <t>MT119530</t>
  </si>
  <si>
    <t>MT119615</t>
  </si>
  <si>
    <t>MT119531</t>
  </si>
  <si>
    <t>MT119616</t>
  </si>
  <si>
    <t>MT119532</t>
  </si>
  <si>
    <t>MT119617</t>
  </si>
  <si>
    <t>MN123680</t>
  </si>
  <si>
    <t>KT833175</t>
  </si>
  <si>
    <t>MN123681</t>
  </si>
  <si>
    <t>KT833176</t>
  </si>
  <si>
    <t>MN123682</t>
  </si>
  <si>
    <t>KT833177</t>
  </si>
  <si>
    <t>MN123683</t>
  </si>
  <si>
    <t>KT833178</t>
  </si>
  <si>
    <t>MN123684</t>
  </si>
  <si>
    <t>KT833180</t>
  </si>
  <si>
    <t>MN123685</t>
  </si>
  <si>
    <t>KT833211</t>
  </si>
  <si>
    <t>MN123686</t>
  </si>
  <si>
    <t>KT833212</t>
  </si>
  <si>
    <t>MN123687</t>
  </si>
  <si>
    <t>KT833213</t>
  </si>
  <si>
    <t>MN123688</t>
  </si>
  <si>
    <t>KT833214</t>
  </si>
  <si>
    <t>MN123689</t>
  </si>
  <si>
    <t>KT833216</t>
  </si>
  <si>
    <t>MT119537</t>
  </si>
  <si>
    <t>MT119622</t>
  </si>
  <si>
    <t>MT119538</t>
  </si>
  <si>
    <t>MT119623</t>
  </si>
  <si>
    <t>MT119539</t>
  </si>
  <si>
    <t>MT119624</t>
  </si>
  <si>
    <t>MT119540</t>
  </si>
  <si>
    <t>MT119625</t>
  </si>
  <si>
    <t>MT119541</t>
  </si>
  <si>
    <t>MT119626</t>
  </si>
  <si>
    <t>MT119542</t>
  </si>
  <si>
    <t>MT119627</t>
  </si>
  <si>
    <t>MT119543</t>
  </si>
  <si>
    <t>MT119628</t>
  </si>
  <si>
    <t>MT119544</t>
  </si>
  <si>
    <t>MT119629</t>
  </si>
  <si>
    <t>MT119545</t>
  </si>
  <si>
    <t>MT119630</t>
  </si>
  <si>
    <t>MT119546</t>
  </si>
  <si>
    <t>MT119631</t>
  </si>
  <si>
    <t>MT119535</t>
  </si>
  <si>
    <t>MT119620</t>
  </si>
  <si>
    <t>MT119536</t>
  </si>
  <si>
    <t>MT119621</t>
  </si>
  <si>
    <t>MN123691</t>
  </si>
  <si>
    <t>KT833220</t>
  </si>
  <si>
    <t>MN123690</t>
  </si>
  <si>
    <t>KT833219</t>
  </si>
  <si>
    <t>MT119547</t>
  </si>
  <si>
    <t>MT119632</t>
  </si>
  <si>
    <t>MT119552</t>
  </si>
  <si>
    <t>MT119636</t>
  </si>
  <si>
    <t>MT119553</t>
  </si>
  <si>
    <t>MT119637</t>
  </si>
  <si>
    <t>MT119548</t>
  </si>
  <si>
    <t>MT119554</t>
  </si>
  <si>
    <t>MT119638</t>
  </si>
  <si>
    <t>MT119555</t>
  </si>
  <si>
    <t>MT119639</t>
  </si>
  <si>
    <t>MT119556</t>
  </si>
  <si>
    <t>MT119640</t>
  </si>
  <si>
    <t>MT119549</t>
  </si>
  <si>
    <t>MT119633</t>
  </si>
  <si>
    <t>MT119550</t>
  </si>
  <si>
    <t>MT119634</t>
  </si>
  <si>
    <t>MT119551</t>
  </si>
  <si>
    <t>MT119635</t>
  </si>
  <si>
    <t>MN123692</t>
  </si>
  <si>
    <t>KT833188</t>
  </si>
  <si>
    <t>MN123693</t>
  </si>
  <si>
    <t>KT833189</t>
  </si>
  <si>
    <t>MN123694</t>
  </si>
  <si>
    <t>KT833190</t>
  </si>
  <si>
    <t>MN123695</t>
  </si>
  <si>
    <t>KT833191</t>
  </si>
  <si>
    <t>MN123696</t>
  </si>
  <si>
    <t>KT833192</t>
  </si>
  <si>
    <t>MW039388</t>
  </si>
  <si>
    <t>MW039389</t>
  </si>
  <si>
    <t>MW039390</t>
  </si>
  <si>
    <t>MW039391</t>
  </si>
  <si>
    <t>Acession_no_.1</t>
  </si>
  <si>
    <t>host_simple</t>
  </si>
  <si>
    <t>2015-11-09</t>
  </si>
  <si>
    <t>2015-11-10</t>
  </si>
  <si>
    <t>2015-11-11</t>
  </si>
  <si>
    <t>2016-11-12</t>
  </si>
  <si>
    <t>2016-11-13</t>
  </si>
  <si>
    <t>2016-11-14</t>
  </si>
  <si>
    <t>2015-05-13</t>
  </si>
  <si>
    <t>2015-05-15</t>
  </si>
  <si>
    <t>2013-12-14</t>
  </si>
  <si>
    <t>2013-12-16</t>
  </si>
  <si>
    <t>2013-11-28</t>
  </si>
  <si>
    <t>2016-01-16</t>
  </si>
  <si>
    <t>2016-01-17</t>
  </si>
  <si>
    <t>2017-01-16</t>
  </si>
  <si>
    <t>2017-01-18</t>
  </si>
  <si>
    <t>2013-11-30</t>
  </si>
  <si>
    <t>2014-04-17</t>
  </si>
  <si>
    <t>2015-03-19</t>
  </si>
  <si>
    <t>2016-01-15</t>
  </si>
  <si>
    <t>2013-11-29</t>
  </si>
  <si>
    <t>2014-04-19</t>
  </si>
  <si>
    <t>2015-04-18</t>
  </si>
  <si>
    <t>2015-04-19</t>
  </si>
  <si>
    <t>2015-11-13</t>
  </si>
  <si>
    <t>2015-11-15</t>
  </si>
  <si>
    <t>2016-11-16</t>
  </si>
  <si>
    <t>2016-11-17</t>
  </si>
  <si>
    <t>2013-11-16</t>
  </si>
  <si>
    <t>2014-03-25</t>
  </si>
  <si>
    <t>2014-03-26</t>
  </si>
  <si>
    <t>2014-03-27</t>
  </si>
  <si>
    <t>2013-11-15</t>
  </si>
  <si>
    <t>2013-11-17</t>
  </si>
  <si>
    <t>2005-02-17</t>
  </si>
  <si>
    <t>2005-02-16</t>
  </si>
  <si>
    <t>2013-11-24</t>
  </si>
  <si>
    <t>2013-11-26</t>
  </si>
  <si>
    <t>2019-01-28</t>
  </si>
  <si>
    <t>2013-12-03</t>
  </si>
  <si>
    <t>2013-12-06</t>
  </si>
  <si>
    <t>2017-02-01</t>
  </si>
  <si>
    <t>2013-11-09</t>
  </si>
  <si>
    <t>2013-11-10</t>
  </si>
  <si>
    <t>2014-04-03</t>
  </si>
  <si>
    <t>2014-04-04</t>
  </si>
  <si>
    <t>2014-04-05</t>
  </si>
  <si>
    <t>2017-01-31</t>
  </si>
  <si>
    <t>2013-11-08</t>
  </si>
  <si>
    <t>2014-04-09</t>
  </si>
  <si>
    <t>2015-11-19</t>
  </si>
  <si>
    <t>2015-11-20</t>
  </si>
  <si>
    <t>2016-11-25</t>
  </si>
  <si>
    <t>2016-11-26</t>
  </si>
  <si>
    <t>2013-11-13</t>
  </si>
  <si>
    <t>2014-04-07</t>
  </si>
  <si>
    <t>2014-04-08</t>
  </si>
  <si>
    <t>2013-11-20</t>
  </si>
  <si>
    <t>2015-11-16</t>
  </si>
  <si>
    <t>2015-11-17</t>
  </si>
  <si>
    <t>2016-11-20</t>
  </si>
  <si>
    <t>2016-11-22</t>
  </si>
  <si>
    <t>2013-11-21</t>
  </si>
  <si>
    <t>2014-04-13</t>
  </si>
  <si>
    <t>2014-04-15</t>
  </si>
  <si>
    <t>2014-04-28</t>
  </si>
  <si>
    <t>2014-04-10</t>
  </si>
  <si>
    <t>2014-04-11</t>
  </si>
  <si>
    <t>date_text</t>
  </si>
  <si>
    <t>Sierra_Leone</t>
  </si>
  <si>
    <t>Column2</t>
  </si>
  <si>
    <t>LASV/GUI/KIS-2019|Human|Guinea|2019-01-28</t>
  </si>
  <si>
    <t>Column3</t>
  </si>
  <si>
    <t>MT119465 and MT119559 are merged</t>
  </si>
  <si>
    <t>MT119466 and MT119560 are merged</t>
  </si>
  <si>
    <t>MT119467 and MT119561 are merged</t>
  </si>
  <si>
    <t>MT119468 and MT119562 are merged</t>
  </si>
  <si>
    <t>MT119469 and MT119563 are merged</t>
  </si>
  <si>
    <t>MT119470 and MT119564 are merged</t>
  </si>
  <si>
    <t>MT119471 and MT119565 are merged</t>
  </si>
  <si>
    <t>MT119472 and MT119566 are merged</t>
  </si>
  <si>
    <t>MT119473 and MT119567 are merged</t>
  </si>
  <si>
    <t>MT119474 and MT119568 are merged</t>
  </si>
  <si>
    <t>MT119475 and MT119569 are merged</t>
  </si>
  <si>
    <t>MT119476 and MT119570 are merged</t>
  </si>
  <si>
    <t>MT119477 and MT119571 are merged</t>
  </si>
  <si>
    <t>MT119478 and MT119572 are merged</t>
  </si>
  <si>
    <t>MT119479 and MT119573 are merged</t>
  </si>
  <si>
    <t>MT119480 and MT119574 are merged</t>
  </si>
  <si>
    <t>MT119481 and MT119575 are merged</t>
  </si>
  <si>
    <t>MT119463 and MT119557 are merged</t>
  </si>
  <si>
    <t>MT119464 and MT119558 are merged</t>
  </si>
  <si>
    <t>MN123657 and KT833205 are merged</t>
  </si>
  <si>
    <t>MN123658 and KT833206 are merged</t>
  </si>
  <si>
    <t>MT119493 and MT119585 are merged</t>
  </si>
  <si>
    <t>MT119494 and MT119586 are merged</t>
  </si>
  <si>
    <t>MT119495 and MT119587 are merged</t>
  </si>
  <si>
    <t>MT119496 and MT119588 are merged</t>
  </si>
  <si>
    <t>MT119497 and MT119589 are merged</t>
  </si>
  <si>
    <t>MT119498 and MT119590 are merged</t>
  </si>
  <si>
    <t>MT119499 and MT119591 are merged</t>
  </si>
  <si>
    <t>MT119500 and MT119592 are merged</t>
  </si>
  <si>
    <t>MT119501 and MT119593 are merged</t>
  </si>
  <si>
    <t>MT119483 and MT119576 are merged</t>
  </si>
  <si>
    <t>MT119484 and MT119577 are merged</t>
  </si>
  <si>
    <t>MT119485 and MT119578 are merged</t>
  </si>
  <si>
    <t>MT119486 and MT119579 are merged</t>
  </si>
  <si>
    <t>MT119487 and MT119580 are merged</t>
  </si>
  <si>
    <t>MT119489 and MT119581 are merged</t>
  </si>
  <si>
    <t>MT119490 and MT119582 are merged</t>
  </si>
  <si>
    <t>MT119491 and MT119583 are merged</t>
  </si>
  <si>
    <t>MT119492 and MT119584 are merged</t>
  </si>
  <si>
    <t>MN123659 and KT833196 are merged</t>
  </si>
  <si>
    <t>MN123660 and KT833197 are merged</t>
  </si>
  <si>
    <t>MN123661 and KT833198 are merged</t>
  </si>
  <si>
    <t>MN123662 and KT833199 are merged</t>
  </si>
  <si>
    <t>MN123663 and KT833200 are merged</t>
  </si>
  <si>
    <t>MN123664 and KT833222 are merged</t>
  </si>
  <si>
    <t>MT119512 and MT119598 are merged</t>
  </si>
  <si>
    <t>MT119513 and MT119599 are merged</t>
  </si>
  <si>
    <t>MT119514 and MT119600 are merged</t>
  </si>
  <si>
    <t>MT119515 and MT119601 are merged</t>
  </si>
  <si>
    <t>MT119517 and MT119602 are merged</t>
  </si>
  <si>
    <t>MT119518 and MT119603 are merged</t>
  </si>
  <si>
    <t>MT119519 and MT119604 are merged</t>
  </si>
  <si>
    <t>MT119520 and MT119605 are merged</t>
  </si>
  <si>
    <t>MT119506 and MT119594 are merged</t>
  </si>
  <si>
    <t>MT119507 and MT119595 are merged</t>
  </si>
  <si>
    <t>MT119508 and MT119596 are merged</t>
  </si>
  <si>
    <t>MT119510 and MT119597 are merged</t>
  </si>
  <si>
    <t>MN123665 and KT833182 are merged</t>
  </si>
  <si>
    <t>MN123666 and KT833183 are merged</t>
  </si>
  <si>
    <t>MN123667 and KT833184 are merged</t>
  </si>
  <si>
    <t>MN123668 and KT833185 are merged</t>
  </si>
  <si>
    <t>MN123669 and KT833186 are merged</t>
  </si>
  <si>
    <t>MN123670 and KT833187 are merged</t>
  </si>
  <si>
    <t>MN123671 and KT833207 are merged</t>
  </si>
  <si>
    <t>MN123672 and KT833208 are merged</t>
  </si>
  <si>
    <t>MN123673 and KT833209 are merged</t>
  </si>
  <si>
    <t>MN123674 and KT833210 are merged</t>
  </si>
  <si>
    <t>MN123675 and KT833193 are merged</t>
  </si>
  <si>
    <t>MN123676 and KT833194 are merged</t>
  </si>
  <si>
    <t>MN123677 and KT833195 are merged</t>
  </si>
  <si>
    <t>MN123678 and KT833203 are merged</t>
  </si>
  <si>
    <t>MN123679 and KT833204 are merged</t>
  </si>
  <si>
    <t>MT119533 and MT119618 are merged</t>
  </si>
  <si>
    <t>MT119534 and MT119619 are merged</t>
  </si>
  <si>
    <t>MT119521 and MT119606 are merged</t>
  </si>
  <si>
    <t>MT119522 and MT119607 are merged</t>
  </si>
  <si>
    <t>MT119523 and MT119608 are merged</t>
  </si>
  <si>
    <t>MT119524 and MT119609 are merged</t>
  </si>
  <si>
    <t>MT119525 and MT119610 are merged</t>
  </si>
  <si>
    <t>MT119526 and MT119611 are merged</t>
  </si>
  <si>
    <t>MT119527 and MT119612 are merged</t>
  </si>
  <si>
    <t>MT119528 and MT119613 are merged</t>
  </si>
  <si>
    <t>MT119529 and MT119614 are merged</t>
  </si>
  <si>
    <t>MT119530 and MT119615 are merged</t>
  </si>
  <si>
    <t>MT119531 and MT119616 are merged</t>
  </si>
  <si>
    <t>MT119532 and MT119617 are merged</t>
  </si>
  <si>
    <t>MN123680 and KT833175 are merged</t>
  </si>
  <si>
    <t>MN123681 and KT833176 are merged</t>
  </si>
  <si>
    <t>MN123682 and KT833177 are merged</t>
  </si>
  <si>
    <t>MN123683 and KT833178 are merged</t>
  </si>
  <si>
    <t>MN123684 and KT833180 are merged</t>
  </si>
  <si>
    <t>MN123685 and KT833211 are merged</t>
  </si>
  <si>
    <t>MN123686 and KT833212 are merged</t>
  </si>
  <si>
    <t>MN123687 and KT833213 are merged</t>
  </si>
  <si>
    <t>MN123688 and KT833214 are merged</t>
  </si>
  <si>
    <t>MN123689 and KT833216 are merged</t>
  </si>
  <si>
    <t>MT119537 and MT119622 are merged</t>
  </si>
  <si>
    <t>MT119538 and MT119623 are merged</t>
  </si>
  <si>
    <t>MT119539 and MT119624 are merged</t>
  </si>
  <si>
    <t>MT119540 and MT119625 are merged</t>
  </si>
  <si>
    <t>MT119541 and MT119626 are merged</t>
  </si>
  <si>
    <t>MT119542 and MT119627 are merged</t>
  </si>
  <si>
    <t>MT119543 and MT119628 are merged</t>
  </si>
  <si>
    <t>MT119544 and MT119629 are merged</t>
  </si>
  <si>
    <t>MT119545 and MT119630 are merged</t>
  </si>
  <si>
    <t>MT119546 and MT119631 are merged</t>
  </si>
  <si>
    <t>MT119535 and MT119620 are merged</t>
  </si>
  <si>
    <t>MT119536 and MT119621 are merged</t>
  </si>
  <si>
    <t>MN123691 and KT833220 are merged</t>
  </si>
  <si>
    <t>MN123690 and KT833219 are merged</t>
  </si>
  <si>
    <t>MT119547 and MT119632 are merged</t>
  </si>
  <si>
    <t>MT119552 and MT119636 are merged</t>
  </si>
  <si>
    <t>MT119553 and MT119637 are merged</t>
  </si>
  <si>
    <t>MT119554 and MT119638 are merged</t>
  </si>
  <si>
    <t>MT119555 and MT119639 are merged</t>
  </si>
  <si>
    <t>MT119556 and MT119640 are merged</t>
  </si>
  <si>
    <t>MT119549 and MT119633 are merged</t>
  </si>
  <si>
    <t>MT119550 and MT119634 are merged</t>
  </si>
  <si>
    <t>MT119551 and MT119635 are merged</t>
  </si>
  <si>
    <t>MN123692 and KT833188 are merged</t>
  </si>
  <si>
    <t>MN123693 and KT833189 are merged</t>
  </si>
  <si>
    <t>MN123694 and KT833190 are merged</t>
  </si>
  <si>
    <t>MN123695 and KT833191 are merged</t>
  </si>
  <si>
    <t>MN123696 and KT833192 are merged</t>
  </si>
  <si>
    <t>Bri-103|Mn|Guinea|2015-11-09</t>
  </si>
  <si>
    <t>Bri-115|Mn|Guinea|2015-11-09</t>
  </si>
  <si>
    <t>Bri-116|Mn|Guinea|2015-11-09</t>
  </si>
  <si>
    <t>Bri-124|Mn|Guinea|2015-11-09</t>
  </si>
  <si>
    <t>Bri-145|Mn|Guinea|2015-11-10</t>
  </si>
  <si>
    <t>Bri-161|Mn|Guinea|2015-11-11</t>
  </si>
  <si>
    <t>Bri-174|Mn|Guinea|2015-11-11</t>
  </si>
  <si>
    <t>Bri-194|Mn|Guinea|2016-11-12</t>
  </si>
  <si>
    <t>Bri-195|Mn|Guinea|2016-11-12</t>
  </si>
  <si>
    <t>Bri-201|Mn|Guinea|2016-11-12</t>
  </si>
  <si>
    <t>Bri-210|Mn|Guinea|2016-11-12</t>
  </si>
  <si>
    <t>Bri-215|Mn|Guinea|2016-11-13</t>
  </si>
  <si>
    <t>Bri-216|Mn|Guinea|2016-11-13</t>
  </si>
  <si>
    <t>Bri-221|Mn|Guinea|2016-11-13</t>
  </si>
  <si>
    <t>Bri-222|Mn|Guinea|2016-11-13</t>
  </si>
  <si>
    <t>Bri-228|Mn|Guinea|2016-11-14</t>
  </si>
  <si>
    <t>Bri-229|Mn|Guinea|2016-11-14</t>
  </si>
  <si>
    <t>Bri-94|Mn|Guinea|2015-05-13</t>
  </si>
  <si>
    <t>Bri-99|Mn|Guinea|2015-05-15</t>
  </si>
  <si>
    <t>Bri08|Mn|Guinea|2013-12-14</t>
  </si>
  <si>
    <t>Bri39|Mn|Guinea|2013-12-16</t>
  </si>
  <si>
    <t>Dal-10|Mn|Guinea|2013-11-28</t>
  </si>
  <si>
    <t>Dal-100|Mn|Guinea|2016-01-16</t>
  </si>
  <si>
    <t>Dal-107|Mn|Guinea|2016-01-17</t>
  </si>
  <si>
    <t>Dal-109|Mn|Guinea|2016-01-17</t>
  </si>
  <si>
    <t>Dal-110|Mn|Guinea|2016-01-17</t>
  </si>
  <si>
    <t>Dal-120|Mn|Guinea|2017-01-16</t>
  </si>
  <si>
    <t>Dal-121|Mn|Guinea|2017-01-16</t>
  </si>
  <si>
    <t>Dal-125|Mn|Guinea|2017-01-16</t>
  </si>
  <si>
    <t>Dal-139|Mn|Guinea|2017-01-18</t>
  </si>
  <si>
    <t>Dal-140|Mn|Guinea|2017-01-18</t>
  </si>
  <si>
    <t>Dal-29|Mn|Guinea|2013-11-30</t>
  </si>
  <si>
    <t>Dal-31|Mn|Guinea|2013-11-30</t>
  </si>
  <si>
    <t>Dal-44|Mn|Guinea|2014-04-17</t>
  </si>
  <si>
    <t>Dal-46|Mn|Guinea|2014-04-17</t>
  </si>
  <si>
    <t>Dal-47|Mn|Guinea|2014-04-17</t>
  </si>
  <si>
    <t>Dal-65|Mn|Guinea|2015-03-19</t>
  </si>
  <si>
    <t>Dal-77|Mn|Guinea|2016-01-15</t>
  </si>
  <si>
    <t>Dal-78|Mn|Guinea|2016-01-15</t>
  </si>
  <si>
    <t>Dal-94|Mn|Guinea|2016-01-16</t>
  </si>
  <si>
    <t>Dal-97|Mn|Guinea|2016-01-16</t>
  </si>
  <si>
    <t>Dal02|Mn|Guinea|2013-11-28</t>
  </si>
  <si>
    <t>Dal04|Mn|Guinea|2013-11-28</t>
  </si>
  <si>
    <t>Dal11|Mn|Guinea|2013-11-28</t>
  </si>
  <si>
    <t>Dal17|Mn|Guinea|2013-11-29</t>
  </si>
  <si>
    <t>Dal25|Mn|Guinea|2013-11-29</t>
  </si>
  <si>
    <t>Dal53|Mn|Guinea|2014-04-19</t>
  </si>
  <si>
    <t>Dam-119|Mn|Guinea|2015-04-18</t>
  </si>
  <si>
    <t>Dam-127|Mn|Guinea|2015-04-19</t>
  </si>
  <si>
    <t>Dam-135|Mn|Guinea|2015-11-13</t>
  </si>
  <si>
    <t>Dam-151|Mn|Guinea|2015-11-15</t>
  </si>
  <si>
    <t>Dam-152|Mn|Guinea|2015-11-15</t>
  </si>
  <si>
    <t>Dam-162|Mn|Guinea|2016-11-16</t>
  </si>
  <si>
    <t>Dam-163|Mn|Guinea|2016-11-16</t>
  </si>
  <si>
    <t>Dam-183|Mn|Guinea|2016-11-16</t>
  </si>
  <si>
    <t>Dam-192|Mn|Guinea|2016-11-17</t>
  </si>
  <si>
    <t>Dam-29|Mn|Guinea|2013-11-16</t>
  </si>
  <si>
    <t>Dam-30|Mn|Guinea|2013-11-16</t>
  </si>
  <si>
    <t>Dam-31|Mn|Guinea|2013-11-16</t>
  </si>
  <si>
    <t>Dam-54|Mn|Guinea|2014-03-25</t>
  </si>
  <si>
    <t>Dam-59|Mn|Guinea|2014-03-25</t>
  </si>
  <si>
    <t>Dam-65|Mn|Guinea|2014-03-26</t>
  </si>
  <si>
    <t>Dam-67|Mn|Guinea|2014-03-26</t>
  </si>
  <si>
    <t>Dam-70|Mn|Guinea|2014-03-26</t>
  </si>
  <si>
    <t>Dam-96|Mn|Guinea|2014-03-27</t>
  </si>
  <si>
    <t>Dam03|Mn|Guinea|2013-11-15</t>
  </si>
  <si>
    <t>Dam05|Mn|Guinea|2013-11-15</t>
  </si>
  <si>
    <t>Dam15|Mn|Guinea|2013-11-15</t>
  </si>
  <si>
    <t>Dam20|Mn|Guinea|2013-11-16</t>
  </si>
  <si>
    <t>Dam38|Mn|Guinea|2013-11-16</t>
  </si>
  <si>
    <t>Dam49|Mn|Guinea|2013-11-17</t>
  </si>
  <si>
    <t>Dam71|Mn|Guinea|2014-03-26</t>
  </si>
  <si>
    <t>Dam72|Mn|Guinea|2014-03-26</t>
  </si>
  <si>
    <t>Dam90|Mn|Guinea|2014-03-27</t>
  </si>
  <si>
    <t>Dam95|Mn|Guinea|2014-03-27</t>
  </si>
  <si>
    <t>DGD-104|Mn|Guinea|2005-02-17</t>
  </si>
  <si>
    <t>DGD-112|Mn|Guinea|2005-02-17</t>
  </si>
  <si>
    <t>DGD-28|Mn|Guinea|2005-02-16</t>
  </si>
  <si>
    <t>DGD-35|Mn|Guinea|2005-02-17</t>
  </si>
  <si>
    <t>DGD-4|Mn|Guinea|2005-02-16</t>
  </si>
  <si>
    <t>DGD-87|Mn|Guinea|2005-02-17</t>
  </si>
  <si>
    <t>Kho10|Mn|Guinea|2013-11-24</t>
  </si>
  <si>
    <t>Kho29|Mn|Guinea|2013-11-26</t>
  </si>
  <si>
    <t>Kho30|Mn|Guinea|2013-11-26</t>
  </si>
  <si>
    <t>Saf01|Mn|Guinea|2013-12-03</t>
  </si>
  <si>
    <t>Sil03|Mn|Guinea|2013-12-06</t>
  </si>
  <si>
    <t>Sok-103|Mn|Guinea|2017-02-01</t>
  </si>
  <si>
    <t>Sok-104|Mn|Guinea|2017-02-01</t>
  </si>
  <si>
    <t>Sok-22|Mn|Guinea|2013-11-09</t>
  </si>
  <si>
    <t>Sok-34|Mn|Guinea|2013-11-10</t>
  </si>
  <si>
    <t>Sok-37|Mn|Guinea|2014-04-03</t>
  </si>
  <si>
    <t>Sok-41|Mn|Guinea|2014-04-03</t>
  </si>
  <si>
    <t>Sok-42|Mn|Guinea|2014-04-03</t>
  </si>
  <si>
    <t>Sok-49|Mn|Guinea|2014-04-03</t>
  </si>
  <si>
    <t>Sok-58|Mn|Guinea|2014-04-04</t>
  </si>
  <si>
    <t>Sok-62|Mn|Guinea|2014-04-04</t>
  </si>
  <si>
    <t>Sok-68|Mn|Guinea|2014-04-04</t>
  </si>
  <si>
    <t>Sok-76|Mn|Guinea|2014-04-05</t>
  </si>
  <si>
    <t>Sok-77|Mn|Guinea|2014-04-05</t>
  </si>
  <si>
    <t>Sok-95|Mn|Guinea|2017-01-31</t>
  </si>
  <si>
    <t>Sok07|Mn|Guinea|2013-11-08</t>
  </si>
  <si>
    <t>Sok10|Mn|Guinea|2013-11-08</t>
  </si>
  <si>
    <t>Sok18|Mn|Guinea|2013-11-09</t>
  </si>
  <si>
    <t>Sok21|Mn|Guinea|2013-11-09</t>
  </si>
  <si>
    <t>Sok32|Mn|Guinea|2013-11-10</t>
  </si>
  <si>
    <t>Sok40|Mn|Guinea|2014-04-03</t>
  </si>
  <si>
    <t>Sok44|Mn|Guinea|2014-04-03</t>
  </si>
  <si>
    <t>Sok51|Mn|Guinea|2014-04-03</t>
  </si>
  <si>
    <t>Sok61|Mn|Guinea|2014-04-04</t>
  </si>
  <si>
    <t>Sok75|Mn|Guinea|2014-04-05</t>
  </si>
  <si>
    <t>Son-105|Mn|Guinea|2014-04-09</t>
  </si>
  <si>
    <t>Son-116|Mn|Guinea|2015-11-19</t>
  </si>
  <si>
    <t>Son-124|Mn|Guinea|2015-11-19</t>
  </si>
  <si>
    <t>Son-133|Mn|Guinea|2015-11-20</t>
  </si>
  <si>
    <t>Son-140|Mn|Guinea|2015-11-20</t>
  </si>
  <si>
    <t>Son-146|Mn|Guinea|2015-11-20</t>
  </si>
  <si>
    <t>Son-193|Mn|Guinea|2016-11-25</t>
  </si>
  <si>
    <t>Son-197|Mn|Guinea|2016-11-25</t>
  </si>
  <si>
    <t>Son-198|Mn|Guinea|2016-11-25</t>
  </si>
  <si>
    <t>Son-211|Mn|Guinea|2016-11-26</t>
  </si>
  <si>
    <t>Son-29|Mn|Guinea|2013-11-13</t>
  </si>
  <si>
    <t>Son-69|Mn|Guinea|2014-04-07</t>
  </si>
  <si>
    <t>Son109|Mn|Guinea|2014-04-09</t>
  </si>
  <si>
    <t>Son85|Mn|Guinea|2014-04-08</t>
  </si>
  <si>
    <t>Yar-09|Mn|Guinea|2013-11-20</t>
  </si>
  <si>
    <t>Yar-130|Mn|Guinea|2015-11-16</t>
  </si>
  <si>
    <t>Yar-151|Mn|Guinea|2015-11-17</t>
  </si>
  <si>
    <t>Yar-17|Mn|Guinea|2013-11-20</t>
  </si>
  <si>
    <t>Yar-185|Mn|Guinea|2016-11-20</t>
  </si>
  <si>
    <t>Yar-194|Mn|Guinea|2016-11-20</t>
  </si>
  <si>
    <t>Yar-217|Mn|Guinea|2016-11-22</t>
  </si>
  <si>
    <t>Yar-33|Mn|Guinea|2013-11-21</t>
  </si>
  <si>
    <t>Yar-51|Mn|Guinea|2014-04-13</t>
  </si>
  <si>
    <t>Yar-62|Mn|Guinea|2014-04-15</t>
  </si>
  <si>
    <t>Yar14|Mn|Guinea|2013-11-20</t>
  </si>
  <si>
    <t>Yar20|Mn|Guinea|2013-11-20</t>
  </si>
  <si>
    <t>Yar24|Mn|Guinea|2013-11-21</t>
  </si>
  <si>
    <t>Yar36|Mn|Guinea|2013-11-21</t>
  </si>
  <si>
    <t>Yar46|Mn|Guinea|2013-11-21</t>
  </si>
  <si>
    <t>NYA-44|Mn|Sierra_Leone|2014-04-28</t>
  </si>
  <si>
    <t>YAK-02|Mn|Sierra_Leone|2014-04-10</t>
  </si>
  <si>
    <t>YAK-08|Mn|Sierra_Leone|2014-04-10</t>
  </si>
  <si>
    <t>YAK-20|Mn|Sierra_Leone|2014-04-11</t>
  </si>
  <si>
    <t>final_selection</t>
  </si>
  <si>
    <t>MW039388|NYA-44|Mn|Sierra_Leone|2014-04-28</t>
  </si>
  <si>
    <t>KM821833|G2230_SLE_2012|Human|Sierra_Leone|2011-12-29</t>
  </si>
  <si>
    <t>KM821835|G2259_SLE_2012|Human|Sierra_Leone|2012-01-16</t>
  </si>
  <si>
    <t>KM821871|G2723_SLE_2012|Human|Sierra_Leone|2012-08-21</t>
  </si>
  <si>
    <t>KM821909|G3278_SLE_2013|Human|Sierra_Leone|2013-08-02</t>
  </si>
  <si>
    <t>KM821869|G2615_SLE_2012|Human|Sierra_Leone|2012-07-24</t>
  </si>
  <si>
    <t>KM821861|G2557_SLE_2012|Human|Sierra_Leone|2012-06-26</t>
  </si>
  <si>
    <t>MW039390|YAK-08|Mn|Sierra_Leone|2014-04-10</t>
  </si>
  <si>
    <t>KM821856|G2431_SLE_2012|Human|Sierra_Leone|2012-04-02</t>
  </si>
  <si>
    <t>AF182235|las803205|Human|Sierra_Leone|1976</t>
  </si>
  <si>
    <t>MG812647|las803209|Human|Sierra_Leone|1975</t>
  </si>
  <si>
    <t>AF182237|las9607290|Human|Sierra_Leone|1996</t>
  </si>
  <si>
    <t>AF182246|las807976|Human|Sierra_Leone|1977</t>
  </si>
  <si>
    <t>AF182247|las803211|Human|Sierra_Leone|1972</t>
  </si>
  <si>
    <t>AF182250|las803206|Human|Sierra_Leone|1976</t>
  </si>
  <si>
    <t>AF182252|las9607300|Human|Sierra_Leone|1996</t>
  </si>
  <si>
    <t>AF182253|las801100|Mouse|Sierra_Leone|1978</t>
  </si>
  <si>
    <t>AF182254|las806843|Human|Sierra_Leone|1993</t>
  </si>
  <si>
    <t>AF182255|las9607302|Human|Sierra_Leone|1996</t>
  </si>
  <si>
    <t>KM406554|LM0729|Mastomys_natalensis|SierraLeone|2009-08-15</t>
  </si>
  <si>
    <t>KM821859|G2554_SLE_2012|Human|Sierra_Leone|2012-06-24</t>
  </si>
  <si>
    <t>KM821787|G733_SLE_2010|Human|Sierra_Leone|2010-01-17</t>
  </si>
  <si>
    <t>KM821804|G1618_SLE_2011|Human|Sierra_Leone|2011-03-26</t>
  </si>
  <si>
    <t>KM821773|G502_SLE_2009|Human|Sierra_Leone|2009-04-29</t>
  </si>
  <si>
    <t>KM821824|G2147_SLE_2011|Human|Sierra_Leone|2011-11-16</t>
  </si>
  <si>
    <t>KM821790|G806_SLE_2010|Human|Sierra_Leone|2010-02-26</t>
  </si>
  <si>
    <t>KM821812|G1774_SLE_2011|Human|Sierra_Leone|2011-06-11</t>
  </si>
  <si>
    <t>KM821832|G2222_SLE_2011|Human|Sierra_Leone|2011-12-19</t>
  </si>
  <si>
    <t>KM821808|G1647_SLE_2011|Human|Sierra_Leone|2011-04-15</t>
  </si>
  <si>
    <t>KM821816|G1932_SLE_2011|Human|Sierra_Leone|2011-08-24</t>
  </si>
  <si>
    <t>KM821857|G2511_SLE_2012|Human|Sierra_Leone|2012-05-18</t>
  </si>
  <si>
    <t>KM821887|G3101_SLE_2013|Human|Sierra_Leone|2013-05-11</t>
  </si>
  <si>
    <t>KM821892|G3148_SLE_2013|Human|Sierra_Leone|2013-06-01</t>
  </si>
  <si>
    <t>KM821910|G3283_SLE_2013|Human|Sierra_Leone|2013-08-05</t>
  </si>
  <si>
    <t>KM821839|G2280_SLE_2012|Human|Sierra_Leone|2012-01-23</t>
  </si>
  <si>
    <t>KM821867|G2612_SLE_2012|Human|Sierra_Leone|2012-07-23</t>
  </si>
  <si>
    <t>KM821884|G3016_SLE_2013|Human|Sierra_Leone|2013-02-14</t>
  </si>
  <si>
    <t>KM821852|G2405_SLE_2012|Human|Sierra_Leone|2012-03-27</t>
  </si>
  <si>
    <t>KM821886|G3076_SLE_2013|Human|Sierra_Leone|2013-04-15</t>
  </si>
  <si>
    <t>KM821815|G1897_SLE_2011|Human|Sierra_Leone|2011-07-27</t>
  </si>
  <si>
    <t>KM821779|G636_SLE_2009|Human|Sierra_Leone|2009-10-09</t>
  </si>
  <si>
    <t>KM821843|G2315_SLE_2012|Human|Sierra_Leone|2012-02-10</t>
  </si>
  <si>
    <t>KM821876|G2903_SLE_2012|Human|Sierra_Leone|2012-10-30</t>
  </si>
  <si>
    <t>KM821899|G3206_SLE_2013|Human|Sierra_Leone|2013-07-01</t>
  </si>
  <si>
    <t>KM406538|LM0396|Mastomys_natalensis|SierraLeone|2009-07-22</t>
  </si>
  <si>
    <t>KM821777|G610_SLE_2009|Human|Sierra_Leone|2009-08-28</t>
  </si>
  <si>
    <t>KM821814|G1792_SLE_2011|Human|Sierra_Leone|2011-06-17</t>
  </si>
  <si>
    <t>KM821878|G2934_SLE_2012|Human|Sierra_Leone|2012-11-27</t>
  </si>
  <si>
    <t>KM821830|G2197_SLE_2011|Human|Sierra_Leone|2011-12-04</t>
  </si>
  <si>
    <t>KM821826|G2165_SLE_2011|Human|Sierra_Leone|2011-11-18</t>
  </si>
  <si>
    <t>KM821828|G2184_SLE_2011|Human|Sierra_Leone|2011-11-26</t>
  </si>
  <si>
    <t>KM821848|G2384_SLE_2012|Human|Sierra_Leone|2012-03-09</t>
  </si>
  <si>
    <t>KM821775|G503_SLE_2009|Human|Sierra_Leone|2009-04-30</t>
  </si>
  <si>
    <t>KM821818|G1959_SLE_2011|Human|Sierra_Leone|2011-09-09</t>
  </si>
  <si>
    <t>KM821877|G2906_SLE_2012|Human|Sierra_Leone|2012-11-03</t>
  </si>
  <si>
    <t>KM821882|G3010_SLE_2013|Human|Sierra_Leone|2013-02-05</t>
  </si>
  <si>
    <t>KM821792|G808_SLE_2010|Human|Sierra_Leone|2010-02-27</t>
  </si>
  <si>
    <t>KM821874|G2868_SLE_2012|Human|Sierra_Leone|2012-10-08</t>
  </si>
  <si>
    <t>KM821845|G2318_SLE_2012|Human|Sierra_Leone|2012-02-12</t>
  </si>
  <si>
    <t>KM821854|G2427_SLE_2012|Human|Sierra_Leone|2012-03-31</t>
  </si>
  <si>
    <t>KM821890|G3110_SLE_2013|Human|Sierra_Leone|2013</t>
  </si>
  <si>
    <t>KM821902|G3229_SLE_2013|Human|Sierra_Leone|2013-07-13</t>
  </si>
  <si>
    <t>KM821894|G3151_SLE_2013|Human|Sierra_Leone|2013-06-05</t>
  </si>
  <si>
    <t>KM821802|G1529_SLE_2011|Human|Sierra_Leone|2011-03-02</t>
  </si>
  <si>
    <t>KM821904|G3234_SLE_2013|Human|Sierra_Leone|2013-07-15</t>
  </si>
  <si>
    <t>KM821847|G2363_SLE_2012|Human|Sierra_Leone|2012-02-27</t>
  </si>
  <si>
    <t>KM821885|G3034_SLE_2013|Human|Sierra_Leone|2013-02-27</t>
  </si>
  <si>
    <t>KM821800|G1442_SLE_2011|Human|Sierra_Leone|2011-01-20</t>
  </si>
  <si>
    <t>MW039391|YAK-20|Mn|Sierra_Leone|2014-04-11</t>
  </si>
  <si>
    <t>KM406540|LM0513|Mastomys_natalensis|SierraLeone|2009-08-01</t>
  </si>
  <si>
    <t>KM406543|LM0619|Mastomys_natalensis|SierraLeone|2009-08-08</t>
  </si>
  <si>
    <t>AF182257|las807974|Human|Sierra_Leone|1976</t>
  </si>
  <si>
    <t>MW039389|YAK-02|Mn|Sierra_Leone|2014-04-10</t>
  </si>
  <si>
    <t>KT992416|Mad39|Mouse|Guinea|2014-05-08</t>
  </si>
  <si>
    <t>KT992419|Mad63|Mouse|Guinea|2014-05-09</t>
  </si>
  <si>
    <t>KT992420|Mad69|Mouse|Guinea|2014-05-09</t>
  </si>
  <si>
    <t>KT992421|Mad83|Mouse|Guinea|2014-05-10</t>
  </si>
  <si>
    <t>KT992417|Mad41|Mouse|Guinea|2014-05-08</t>
  </si>
  <si>
    <t>MT861994|KIS-2019|Human|Guinea|28-01-2019</t>
  </si>
  <si>
    <t>DQ832692|DGD4|Mouse|Guinea|2005</t>
  </si>
  <si>
    <t>DQ832694|DGD28|Mouse|Guinea|2005</t>
  </si>
  <si>
    <t>M00009|Human|Guinea|10-07-2020</t>
  </si>
  <si>
    <t>M00008|Human|Guinea|12-03-2020</t>
  </si>
  <si>
    <t>AF182265|las807998|Human|Guinea|1997</t>
  </si>
  <si>
    <t>MH732623|GUIN-1739-Mn-2018|Mastomys_natalensis|Guinea|2018</t>
  </si>
  <si>
    <t>G0405|Human|Guinea|15-06-2021</t>
  </si>
  <si>
    <t>AF182267|las807992|Human|Guinea|1997</t>
  </si>
  <si>
    <t>MT119465|Bri-103|Mn|Guinea|2015-11-09</t>
  </si>
  <si>
    <t>MT119481|Bri-229|Mn|Guinea|2016-11-14</t>
  </si>
  <si>
    <t>MT119472|Bri-194|Mn|Guinea|2016-11-12</t>
  </si>
  <si>
    <t>MT119473|Bri-195|Mn|Guinea|2016-11-12</t>
  </si>
  <si>
    <t>MT119485|Dal-44|Mn|Guinea|2014-04-17</t>
  </si>
  <si>
    <t>MT119466|Bri-115|Mn|Guinea|2015-11-09</t>
  </si>
  <si>
    <t>MT119480|Bri-228|Mn|Guinea|2016-11-14</t>
  </si>
  <si>
    <t>MT119522|Sok-34|Mn|Guinea|2013-11-10</t>
  </si>
  <si>
    <t>MT119526|Sok-49|Mn|Guinea|2014-04-03</t>
  </si>
  <si>
    <t>MN123681|Sok10|Mn|Guinea|2013-11-08</t>
  </si>
  <si>
    <t>MN123682|Sok18|Mn|Guinea|2013-11-09</t>
  </si>
  <si>
    <t>MN123685|Sok40|Mn|Guinea|2014-04-03</t>
  </si>
  <si>
    <t>MN123680|Sok07|Mn|Guinea|2013-11-08</t>
  </si>
  <si>
    <t>MN123687|Sok51|Mn|Guinea|2014-04-03</t>
  </si>
  <si>
    <t>MN123684|Sok32|Mn|Guinea|2013-11-10</t>
  </si>
  <si>
    <t>KP339126|1840|Mastomys natalensis|Guinea|2011-10-21</t>
  </si>
  <si>
    <t>MT119487|Dal-47|Mn|Guinea|2014-04-17</t>
  </si>
  <si>
    <t>MN123663|Dal25|Mn|Guinea|2013-11-29</t>
  </si>
  <si>
    <t>MN123664|Dal53|Mn|Guinea|2014-04-19</t>
  </si>
  <si>
    <t>KP339103|1198|Mastomys natalensis|Guinea|2004-10-4</t>
  </si>
  <si>
    <t>MN123679|Sil03|Mn|Guinea|2013-12-06</t>
  </si>
  <si>
    <t>MT119534|Sok-104|Mn|Guinea|2017-02-01</t>
  </si>
  <si>
    <t>MN123683|Sok21|Mn|Guinea|2013-11-09</t>
  </si>
  <si>
    <t>MN123686|Sok44|Mn|Guinea|2014-04-03</t>
  </si>
  <si>
    <t>MT119483|Dal-29|Mn|Guinea|2013-11-30</t>
  </si>
  <si>
    <t>MN123659|Dal02|Mn|Guinea|2013-11-28</t>
  </si>
  <si>
    <t>MT119493|Dal-100|Mn|Guinea|2016-01-16</t>
  </si>
  <si>
    <t>MT119498|Dal-121|Mn|Guinea|2017-01-16</t>
  </si>
  <si>
    <t>MT119490|Dal-78|Mn|Guinea|2016-01-15</t>
  </si>
  <si>
    <t>MT119499|Dal-125|Mn|Guinea|2017-01-16</t>
  </si>
  <si>
    <t>MT119500|Dal-139|Mn|Guinea|2017-01-18</t>
  </si>
  <si>
    <t>MT119489|Dal-77|Mn|Guinea|2016-01-15</t>
  </si>
  <si>
    <t>MT119497|Dal-120|Mn|Guinea|2017-01-16</t>
  </si>
  <si>
    <t>MT119484|Dal-31|Mn|Guinea|2013-11-30</t>
  </si>
  <si>
    <t>MN123662|Dal17|Mn|Guinea|2013-11-29</t>
  </si>
  <si>
    <t>MN123661|Dal11|Mn|Guinea|2013-11-28</t>
  </si>
  <si>
    <t>MT119468|Bri-124|Mn|Guinea|2015-11-09</t>
  </si>
  <si>
    <t>MT119475|Bri-210|Mn|Guinea|2016-11-12</t>
  </si>
  <si>
    <t>MN123658|Bri39|Mn|Guinea|2013-12-16</t>
  </si>
  <si>
    <t>DQ832669|BA263|Mouse|Guinea|2003</t>
  </si>
  <si>
    <t>DQ832672|BA350|Mouse|Guinea|2003</t>
  </si>
  <si>
    <t>DQ832674|BA356|Mouse|Guinea|2003</t>
  </si>
  <si>
    <t>DQ832678|BA378|Mouse|Guinea|2003</t>
  </si>
  <si>
    <t>KP339089|936|Mastomys natalensis|Guinea|2004-5-22</t>
  </si>
  <si>
    <t>KP339121|1755|Mastomys natalensis|Guinea|2011-10-19</t>
  </si>
  <si>
    <t>KP339122|1770|Mastomys natalensis|Guinea|2011-10-19</t>
  </si>
  <si>
    <t>MT119478|Bri-221|Mn|Guinea|2016-11-13</t>
  </si>
  <si>
    <t>MT119463|Bri-94|Mn|Guinea|2015-05-13</t>
  </si>
  <si>
    <t>MN123657|Bri08|Mn|Guinea|2013-12-14</t>
  </si>
  <si>
    <t>MT119471|Bri-174|Mn|Guinea|2015-11-11</t>
  </si>
  <si>
    <t>MT119474|Bri-201|Mn|Guinea|2016-11-12</t>
  </si>
  <si>
    <t>MT119479|Bri-222|Mn|Guinea|2016-11-13</t>
  </si>
  <si>
    <t>MN123669|Dam38|Mn|Guinea|2013-11-16</t>
  </si>
  <si>
    <t>MT119555|Yar-194|Mn|Guinea|2016-11-20</t>
  </si>
  <si>
    <t>MN123692|Yar14|Mn|Guinea|2013-11-20</t>
  </si>
  <si>
    <t>DQ832682|TA416|Mouse|Guinea|2003</t>
  </si>
  <si>
    <t>DQ832683|TA341|Mouse|Guinea|2003</t>
  </si>
  <si>
    <t>DQ832686|TA464|Mouse|Guinea|2003</t>
  </si>
  <si>
    <t>DQ832690|TA820|Mouse|Guinea|2004</t>
  </si>
  <si>
    <t>KP339127|1858|Mastomys natalensis|Guinea|2011-10-23</t>
  </si>
  <si>
    <t>MN123675|Kho10|Mn|Guinea|2013-11-24</t>
  </si>
  <si>
    <t>MN123677|Kho30|Mn|Guinea|2013-11-26</t>
  </si>
  <si>
    <t>MN123676|Kho29|Mn|Guinea|2013-11-26</t>
  </si>
  <si>
    <t>KP339132|1925|Mastomys natalensis|Guinea|2011-10-25</t>
  </si>
  <si>
    <t>AF182270|las808255|Mouse|Guinea|1996</t>
  </si>
  <si>
    <t>DQ832667|GB129|Mouse|Guinea|2003</t>
  </si>
  <si>
    <t>DQ832668|GB132|Mouse|Guinea|2003</t>
  </si>
  <si>
    <t>DQ832684|TA444|Mouse|Guinea|2003</t>
  </si>
  <si>
    <t>DQ832689|TA817|Mouse|Guinea|2004</t>
  </si>
  <si>
    <t>KP339083|813|Mastomys natalensis|Guinea|2004-2-1</t>
  </si>
  <si>
    <t>MT119549|Yar-33|Mn|Guinea|2013-11-21</t>
  </si>
  <si>
    <t>MN123696|Yar46|Mn|Guinea|2013-11-21</t>
  </si>
  <si>
    <t>MN123678|Saf01|Mn|Guinea|2013-12-03</t>
  </si>
  <si>
    <t>MT119546|Son-211|Mn|Guinea|2016-11-26</t>
  </si>
  <si>
    <t>MN123695|Yar36|Mn|Guinea|2013-11-21</t>
  </si>
  <si>
    <t>MT119544|Son-197|Mn|Guinea|2016-11-25</t>
  </si>
  <si>
    <t>MN123665|Dam03|Mn|Guinea|2013-11-15</t>
  </si>
  <si>
    <t>MN123668|Dam20|Mn|Guinea|2013-11-16</t>
  </si>
  <si>
    <t>KP339054|170|Mastomys natalensis|Guinea|2003-5-23</t>
  </si>
  <si>
    <t>DQ832671|BA302|Mouse|Guinea|2003</t>
  </si>
  <si>
    <t>MT119550|Yar-51|Mn|Guinea|2014-04-13</t>
  </si>
  <si>
    <t>MT119547|Yar-09|Mn|Guinea|2013-11-20</t>
  </si>
  <si>
    <t>MN123690|Son85|Mn|Guinea|2014-04-08</t>
  </si>
  <si>
    <t>MT119538|Son-116|Mn|Guinea|2015-11-19</t>
  </si>
  <si>
    <t>MT119541|Son-140|Mn|Guinea|2015-11-20</t>
  </si>
  <si>
    <t>MT119545|Son-198|Mn|Guinea|2016-11-25</t>
  </si>
  <si>
    <t>MT119543|Son-193|Mn|Guinea|2016-11-25</t>
  </si>
  <si>
    <t>MT119539|Son-124|Mn|Guinea|2015-11-19</t>
  </si>
  <si>
    <t>MT119542|Son-146|Mn|Guinea|2015-11-20</t>
  </si>
  <si>
    <t>MT119540|Son-133|Mn|Guinea|2015-11-20</t>
  </si>
  <si>
    <t>MT119535|Son-29|Mn|Guinea|2013-11-13</t>
  </si>
  <si>
    <t>MT119536|Son-69|Mn|Guinea|2014-04-07</t>
  </si>
  <si>
    <t>MN123691|Son109|Mn|Guinea|2014-04-09</t>
  </si>
  <si>
    <t>MN123667|Dam15|Mn|Guinea|2013-11-15</t>
  </si>
  <si>
    <t>MN123671|Dam71|Mn|Guinea|2014-03-26</t>
  </si>
  <si>
    <t>MN123670|Dam49|Mn|Guinea|2013-11-17</t>
  </si>
  <si>
    <t>MT119551|Yar-62|Mn|Guinea|2014-04-15</t>
  </si>
  <si>
    <t>MT119512|Dam-119|Mn|Guinea|2015-04-18</t>
  </si>
  <si>
    <t>MN123673|Dam90|Mn|Guinea|2014-03-27</t>
  </si>
  <si>
    <t>MT119523|Sok-37|Mn|Guinea|2014-04-03</t>
  </si>
  <si>
    <t>MT119527|Sok-58|Mn|Guinea|2014-04-04</t>
  </si>
  <si>
    <t>MT119533|Sok-103|Mn|Guinea|2017-02-01</t>
  </si>
  <si>
    <t>DQ832676|BA375|Mouse|Guinea|2003</t>
  </si>
  <si>
    <t>AF182269|las807868|Human|Guinea|1996</t>
  </si>
  <si>
    <t>MT119469|Bri-145|Mn|Guinea|2015-11-10</t>
  </si>
  <si>
    <t>MT119464|Bri-99|Mn|Guinea|2015-05-15</t>
  </si>
  <si>
    <t>MT119477|Bri-216|Mn|Guinea|2016-11-13</t>
  </si>
  <si>
    <t>MT119524|Sok-41|Mn|Guinea|2014-04-03</t>
  </si>
  <si>
    <t>MT119530|Sok-76|Mn|Guinea|2014-04-05</t>
  </si>
  <si>
    <t>MT119525|Sok-42|Mn|Guinea|2014-04-03</t>
  </si>
  <si>
    <t>MN123689|Sok75|Mn|Guinea|2014-04-05</t>
  </si>
  <si>
    <t>MN123688|Sok61|Mn|Guinea|2014-04-04</t>
  </si>
  <si>
    <t>MT119532|Sok-95|Mn|Guinea|2017-01-31</t>
  </si>
  <si>
    <t>MT119486|Dal-46|Mn|Guinea|2014-04-17</t>
  </si>
  <si>
    <t>MN123660|Dal04|Mn|Guinea|2013-11-28</t>
  </si>
  <si>
    <t>MT119513|Dam-127|Mn|Guinea|2015-04-19</t>
  </si>
  <si>
    <t>MT119507|Dam-59|Mn|Guinea|2014-03-25</t>
  </si>
  <si>
    <t>MT119508|Dam-65|Mn|Guinea|2014-03-26</t>
  </si>
  <si>
    <t>MT119517|Dam-162|Mn|Guinea|2016-11-16</t>
  </si>
  <si>
    <t>MT119519|Dam-183|Mn|Guinea|2016-11-16</t>
  </si>
  <si>
    <t>MT119510|Dam-70|Mn|Guinea|2014-03-26</t>
  </si>
  <si>
    <t>MN123674|Dam95|Mn|Guinea|2014-03-27</t>
  </si>
  <si>
    <t>MN123666|Dam05|Mn|Guinea|2013-11-15</t>
  </si>
  <si>
    <t>MT119518|Dam-163|Mn|Guinea|2016-11-16</t>
  </si>
  <si>
    <t>MT119506|Dam-54|Mn|Guinea|2014-03-25</t>
  </si>
  <si>
    <t>MT119495|Dal-109|Mn|Guinea|2016-01-17</t>
  </si>
  <si>
    <t>MT119552|Yar-130|Mn|Guinea|2015-11-16</t>
  </si>
  <si>
    <t>MT119556|Yar-217|Mn|Guinea|2016-11-22</t>
  </si>
  <si>
    <t>MN123693|Yar20|Mn|Guinea|2013-11-20</t>
  </si>
  <si>
    <t>MN123694|Yar24|Mn|Guinea|2013-11-21</t>
  </si>
  <si>
    <t>MT119554|Yar-185|Mn|Guinea|2016-11-20</t>
  </si>
  <si>
    <t>M00362|Human|Guinea|18-09-2021</t>
  </si>
  <si>
    <t>MG812653|LF11003|Human|Liberia_Bong|2011-02-20</t>
  </si>
  <si>
    <t>MG812655|LF11011|Human|Liberia_Bong|2011-04-14</t>
  </si>
  <si>
    <t>MG812663|LF16004|Human|Liberia_Bong|2016-02-26</t>
  </si>
  <si>
    <t>MG812677|LF17013|Human|Liberia_Bong|2017-02-13</t>
  </si>
  <si>
    <t>MG812665|LF16016|Human|Liberia_Nimba|2016-04-13</t>
  </si>
  <si>
    <t>M00363|Human|Guinea|17-08-2021</t>
  </si>
  <si>
    <t>G0274|Human|Guinea|07-05-2021</t>
  </si>
  <si>
    <t>MG812669|LF17019|Human|Liberia_Bong|2017-05-04</t>
  </si>
  <si>
    <t>M00364|Human|Guinea|20-08-2021</t>
  </si>
  <si>
    <t>FJ824031|Soromba|Human|MLI|2009-02-17</t>
  </si>
  <si>
    <t>GU573547|Soromba_R240|Mouse|Mali|2009</t>
  </si>
  <si>
    <t>GU573551|Soromba_R245|Mouse|Mali|2009</t>
  </si>
  <si>
    <t>KF478767|Komina_R16|Mouse|Mali|2012-03-03</t>
  </si>
  <si>
    <t>KF478766|Bamba_R114|Mouse|Mali|2012-03</t>
  </si>
  <si>
    <t>AF182272|las9608911|Human|Nigeria|1996</t>
  </si>
  <si>
    <t>AF333969|CSF|Human|NIG|2000-03-28</t>
  </si>
  <si>
    <t>LASV_NGA_2014_IRR_002_NGA-Nassarawa_Lafia_Hs_2014-01-20</t>
  </si>
  <si>
    <t>LASV_NGA_2016_IRR_020_NGA-Nassarawa_Lafia_Hs_2016-02-15</t>
  </si>
  <si>
    <t>LASV_NGA_2015_IRR_014_NGA-Nassarawa_Agyaragu_Hs_2015-12-30</t>
  </si>
  <si>
    <t>LASV_NGA_2016_IRR_008_NGA-Nassarawa_Lafia_Hs_2016-01-20</t>
  </si>
  <si>
    <t>LASV_NGA_2016_IRR_032_NGA-Nassarawa_Lafia_Hs_2016-03-13</t>
  </si>
  <si>
    <t>LASV_NGA_2016_IRR_015_NGA-Nassarawa_Lafia_Hs_2016-02-03</t>
  </si>
  <si>
    <t>LASV_NGA_2017_IRR_001_NGA-Nassarawa_NA_Hs_2017-01-24</t>
  </si>
  <si>
    <t>LASV_NGA_2015_IRR_015_NGA-Nassarawa_Lafia_Hs_2015-12-30</t>
  </si>
  <si>
    <t>LASV_NGA_2013_IRR_003_NGA-Nassarawa_Lafia_Hs_2013-01-18</t>
  </si>
  <si>
    <t>LASV_NGA_2012_IRR_007_NGA-Nassarawa_Lafia_Hs_2012-02-27</t>
  </si>
  <si>
    <t>ONM-299_NGA-Benue_COORDINATES_Me_2011-10-23</t>
  </si>
  <si>
    <t>ONM-314_NGA-Benue_COORDINATES_Me_2011-10-24</t>
  </si>
  <si>
    <t>ONM-700_NGA-Benue_COORDINATES_Me_2012-10-29</t>
  </si>
  <si>
    <t>LASV_NGA_2016_IRR_016_NGA-Nassarawa_Kwarra_Hs_2016-02-06</t>
  </si>
  <si>
    <t>LASV_NGA_2018_IRR_025_NGA-Imo_Orlu_Hs_2018-01-19</t>
  </si>
  <si>
    <t>LASV_NGA_2016_IRR_025_NGA-Benue_Oiji_Hs_2016-02-26</t>
  </si>
  <si>
    <t>PB1_NGA-Plateau_Jos_Hs_1982-01</t>
  </si>
  <si>
    <t>LASV_NGA_2013_IRR_014_NGA-Bauchi_Bauchi_Hs_2013-11-23</t>
  </si>
  <si>
    <t>LASV_NGA_2015_IRR_004_NGA-Bauchi_Bauchi_Hs_2015-01-18</t>
  </si>
  <si>
    <t>LASV_NGA_2013_IRR_016_NGA-Bauchi_Bauchi_Hs_2013-12-08</t>
  </si>
  <si>
    <t>LASV_NGA_2015_IRR_009_NGA-Bauchi_Mbal_Hs_2015-04-25</t>
  </si>
  <si>
    <t>LASV_NGA_2013_IRR_010_NGA-Bauchi_Bauchi_Hs_2013-03-10</t>
  </si>
  <si>
    <t>LASV_NGA_2016_IRR_019_NGA-Bauchi_LimanKatagum_Hs_2016-01-12</t>
  </si>
  <si>
    <t>LASV_NGA_2016_IRR_028_NGA-Bauchi_SabonGari_Hs_2016-02-29</t>
  </si>
  <si>
    <t>LASV_NGA_2018_IRR_001_NGA-Bauchi_LimanKatagum_Hs_2018-01-02</t>
  </si>
  <si>
    <t>LASV_NGA_2016_IRR_031_NGA-Bauchi_Mbal_Hs_2016-03-11</t>
  </si>
  <si>
    <t>LASV_NGA_2013_IRR_015_NGA-Bauchi_Bauchi_Hs_2013-12-04</t>
  </si>
  <si>
    <t>LASV_NGA_2018_IRR_086_NGA-Bauchi_Wandi_Hs_2018-02-08</t>
  </si>
  <si>
    <t>LASV_NGA_2015_IRR_013_NGA-Bauchi_Dass_Hs_2015-12-17</t>
  </si>
  <si>
    <t>LASV_NGA_2018_IRR_054_NGA-Bauchi_Kufai_Hs_2018-02-04</t>
  </si>
  <si>
    <t>LASV_NGA_2018_IRR_136_NGA-Bauchi_Lukshi_Hs_2018-03-05</t>
  </si>
  <si>
    <t>LASV_NGA_2016_IRR_005_NGA-Bauchi_Bundot_Hs_2016-01-08</t>
  </si>
  <si>
    <t>LASV_NGA_2016_IRR_003_NGA-Plateau_Kumbul_Hs_2016-01-04</t>
  </si>
  <si>
    <t>LASV_NGA_2016_IRR_009_NGA-Plateau_Shendam_Hs_2016-01-20</t>
  </si>
  <si>
    <t>LASV|NGA|2019|IRR_0070|2019-02-08</t>
  </si>
  <si>
    <t>LASV_NGA_2015_IRR_008_NGA-Bauchi_Alkaleri_Hs_2015-04-10</t>
  </si>
  <si>
    <t>LASV_NGA_2016_IRR_014_NGA-Bauchi_Alkaleri_Hs_2016-01-28</t>
  </si>
  <si>
    <t>LASV_NGA_2016_IRR_012_NGA-Bauchi_TafawaBalewa_Hs_2016-01-25</t>
  </si>
  <si>
    <t>LASV_NGA_2016_IRR_010_NGA-Taraba_Kwesati_Hs_2016-01-22</t>
  </si>
  <si>
    <t>GA391_NGA-Kaduna_Zaria_Hs_1977-11</t>
  </si>
  <si>
    <t>AF182228|las806791|Human|Nigeria|1993</t>
  </si>
  <si>
    <t>AF182229|las803210|Human|Nigeria|1975</t>
  </si>
  <si>
    <t>LASV_NGA_2013_IRR_002_NGA-Benue_Makurdi_Hs_2013-01-17</t>
  </si>
  <si>
    <t>AF182230|las803212|Human|Nigeria|1976</t>
  </si>
  <si>
    <t>AF182232|las803208|Human|Nigeria|1975</t>
  </si>
  <si>
    <t>LASV_NGA_2016_IRR_023_NGA-Kaduna_Kaduna_Hs_2016-02-23</t>
  </si>
  <si>
    <t>LASV_NGA_2015_IRR_003_NGA-Plateau_Vom_Hs_2015-01-12</t>
  </si>
  <si>
    <t>GU481064|Nig08-02|Human|Nigeria|2008-01-02</t>
  </si>
  <si>
    <t>LASV_NGA_2013_IRR_013_NGA-Plateau_Jos_Hs_2013-02-27</t>
  </si>
  <si>
    <t>LASV_NGA_2015_IRR_002_NGA-Bauchi_Bauchi_Hs_2015-01-08</t>
  </si>
  <si>
    <t>LASV_NGA_2015_IRR_005_NGA-Kaduna_Zaria_Hs_2015-01-28</t>
  </si>
  <si>
    <t>AF181854|las803213|Human|Nigeria|1974-02</t>
  </si>
  <si>
    <t>AF182220|las803214|Human|Nigeria|1974</t>
  </si>
  <si>
    <t>MH887880|LASV0154-TARABA-2018|Human|Nigeria|2018-02-04</t>
  </si>
  <si>
    <t>LASV_NGA_2012_IRR_001_NGA-Taraba_Jalingo_Hs_2012-02-08</t>
  </si>
  <si>
    <t>LASV_NGA_2013_IRR_008_NGA-Taraba_Jalingo_Hs_2013-03-06</t>
  </si>
  <si>
    <t>LASV_NGA_2015_IRR_007_NGA-Taraba_Jalingo_Hs_2015-02-25</t>
  </si>
  <si>
    <t>LASV_NGA_2016_IRR_004_NGA-Taraba_Takun_Hs_2016-01-05</t>
  </si>
  <si>
    <t>LASV_NGA_2012_IRR_003_NGA-Taraba_Jalingo_Hs_2012-02-10</t>
  </si>
  <si>
    <t>AF182221|las806316|Human|Nigeria|1989</t>
  </si>
  <si>
    <t>AF182222|las808031|Human|Nigeria|1994</t>
  </si>
  <si>
    <t>LASV_NGA_2017_IRR_003_NGA-Edo_NA_Hs_2017-04-03</t>
  </si>
  <si>
    <t>LASV_NGA_2018_IRR_031_NGA-Edo_Uromi_Hs_2018-01-24</t>
  </si>
  <si>
    <t>LASV_NGA_2018_IRR_121_NGA-Edo_Uhiele_Hs_2018-02-26</t>
  </si>
  <si>
    <t>GU481076|Nig08_A41|Human|Nigeria|2008-02</t>
  </si>
  <si>
    <t>LASV_NGA_2016_IRR_022_NGA-Kogi_Idah_Hs_2016-02-20</t>
  </si>
  <si>
    <t>LASV_NGA_2018_IRR_022_NGA-Kogi_Lokoja_Hs_2018-01-17</t>
  </si>
  <si>
    <t>LASV_NGA_2018_IRR_141_NGA-Kogi_Idah_Hs_2018-02-23</t>
  </si>
  <si>
    <t>LASV_NGA_2018_IRR_006_NGA-Edo_Auchi_Hs_2018-01-09</t>
  </si>
  <si>
    <t>LASV_NGA_2018_IRR_091_NGA-Edo_Afowa_Hs_2018-02-15</t>
  </si>
  <si>
    <t>LASV|NGA|2019|IRR_0008|2019-01-20</t>
  </si>
  <si>
    <t>LASV|NGA|2019|IRR_0067|2019-02-08</t>
  </si>
  <si>
    <t>LASV_NGA_2018_IRR_015_NGA-Ondo_Owo_Hs_2018-01-16</t>
  </si>
  <si>
    <t>LASV_NGA_2015_IRR_001_NGA-Plateau_Buji_Hs_2015-01-08</t>
  </si>
  <si>
    <t>LASV_NGA_2016_IRR_001_NGA-Edo_NA_Hs_2016-01-04</t>
  </si>
  <si>
    <t>LASV|NGA|2019|IRR_0001|2019-01-15</t>
  </si>
  <si>
    <t>LASV|NGA|2019|IRR_0049|2019-01-04</t>
  </si>
  <si>
    <t>LASV|NGA|2019|IRR_0031|2019-01-08</t>
  </si>
  <si>
    <t>LASV|NGA|2019|IRR_0050|2019-01-16</t>
  </si>
  <si>
    <t>LASV_NGA_2017_IRR_004_NGA-Edo_Uzairue_Hs_2017</t>
  </si>
  <si>
    <t>LASV|NGA|2019|IRR_0060|2019-02-06</t>
  </si>
  <si>
    <t>LASV|NGA|2019|IRR_0073|2019-01-21</t>
  </si>
  <si>
    <t>LASV|NGA|2019|IRR_0065|2019-01-02</t>
  </si>
  <si>
    <t>LASV_NGA_2014_IRR_010_NGA-Ondo_Okeluse_Hs_2014-05-17</t>
  </si>
  <si>
    <t>LASV_NGA_2014_IRR_011_NGA-Ondo_Okeluse_Hs_2014-08-01</t>
  </si>
  <si>
    <t>LASV_NGA_2014_IRR_004_NGA-Ondo_Okeluse_Hs_2014-05-08</t>
  </si>
  <si>
    <t>LASV_NGA_2018_IRR_131_NGA-Edo_BeninCity_Hs_2018-03-01</t>
  </si>
  <si>
    <t>LASV_NGA_2018_IRR_050_NGA-Ondo_Ifon_Hs_2018-02-05</t>
  </si>
  <si>
    <t>LASV|NGA|2019|IRR_0004|2019-01-17</t>
  </si>
  <si>
    <t>LASV_NGA_2016_IRR_033_NGA-Ondo_Ondo_Hs_2016-03-14</t>
  </si>
  <si>
    <t>LASV|NGA|2019|IRR_0063|2018-12-31</t>
  </si>
  <si>
    <t>LASV_NGA_2018_IRR_023_NGA-Edo_Uzebba_Hs_2018-01-18</t>
  </si>
  <si>
    <t>MH887876|LASV0153-EDO-2018|Human|Nigeria|2018-02-04</t>
  </si>
  <si>
    <t>LASV_NGA_2018_IRR_017_NGA-Ondo_Owo_Hs_2018-01-15</t>
  </si>
  <si>
    <t>LASV_NGA_2018_IRR_008_NGA-Ondo_IjebuOwo_Hs_2018-01-11</t>
  </si>
  <si>
    <t>LASV|NGA|2019|IRR_0074|2019-01-31</t>
  </si>
  <si>
    <t>LASV|NGA|2019|IRR_0079|2019-02-04</t>
  </si>
  <si>
    <t>LASV|NGA|2019|IRR_0011|2019-01-22</t>
  </si>
  <si>
    <t>LASV_NGA_2018_IRR_048_NGA-Ondo_Owo_Hs_2018-02-04</t>
  </si>
  <si>
    <t>LASV|NGA|2019|IRR_0028|2019-01-25</t>
  </si>
  <si>
    <t>LASV_NGA_2018_IRR_072_NGA-Ondo_Owo_Hs_2018-02-12</t>
  </si>
  <si>
    <t>LASV_NGA_2016_IRR_029_NGA-Ondo_Owo_Hs_2016-03-01</t>
  </si>
  <si>
    <t>LASV_NGA_2017_IRR_006_NGA-Ondo_Owo_Hs_2017-01-19</t>
  </si>
  <si>
    <t>LASV_NGA_2018_IRR_014_NGA-Ondo_Owo_Hs_2018-01-15</t>
  </si>
  <si>
    <t>LASV_NGA_2018_IRR_083_NGA-Ondo_Owo_Hs_2018-02-13</t>
  </si>
  <si>
    <t>LASV|NGA|2019|IRR_0054|2019-01-12</t>
  </si>
  <si>
    <t>LASV|NGA|2019|IRR_0099|2019-03-01</t>
  </si>
  <si>
    <t>LASV_NGA_2018_IRR_084_NGA-Ondo_Owo_Hs_2018-02-13</t>
  </si>
  <si>
    <t>LASV_NGA_2018_IRR_021_NGA-Nassarawa_Keffi_Hs_2018-01-18</t>
  </si>
  <si>
    <t>LASV|NGA|2019|IRR_0077|2019-01-19</t>
  </si>
  <si>
    <t>LASV_NGA_2017_IRR_014_NGA-Ondo_Owo_Hs_2017-04-28</t>
  </si>
  <si>
    <t>LASV|NGA|2019|IRR_0023|2019-01-26</t>
  </si>
  <si>
    <t>LASV|NGA|2019|IRR_0029|2019-01-18</t>
  </si>
  <si>
    <t>LASV_NGA_2018_IRR_010_NGA-Ondo_Owo_Hs_2018-01-12</t>
  </si>
  <si>
    <t>LASV_NGA_2018_IRR_056_NGA-Ondo_Owo_Hs_2018-02-09</t>
  </si>
  <si>
    <t>LASV|NGA|2019|IRR_0041|2019-01-24</t>
  </si>
  <si>
    <t>LASV|NGA|2019|IRR_0057|2019-01-29</t>
  </si>
  <si>
    <t>LASV|NGA|2019|IRR_0113|2019-03-06</t>
  </si>
  <si>
    <t>LASV_NGA_2015_IRR_011_NGA-Ondo_Owo_Hs_2015-09-16</t>
  </si>
  <si>
    <t>LASV_NGA_2018_IRR_020_NGA-Ondo_Owo_Hs_2018-01-17</t>
  </si>
  <si>
    <t>LASV_NGA_2018_IRR_092_NGA-Ondo_Owo_Hs_2018-02-15</t>
  </si>
  <si>
    <t>LASV_NGA_2018_IRR_052_NGA-Ondo_Owo_Hs_2018-02-07</t>
  </si>
  <si>
    <t>LASV_NGA_2018_IRR_095_NGA-Ekiti_Ado-Ekiti_Hs_2018-02-15</t>
  </si>
  <si>
    <t>LASV|NGA|2019|IRR_0076|2019-02-05</t>
  </si>
  <si>
    <t>LASV|NGA|2019|IRR_0101|2019-02-28</t>
  </si>
  <si>
    <t>LASV_NGA_2018_IRR_047_NGA-Ondo_Owo_Hs_2018-02-05</t>
  </si>
  <si>
    <t>LASV_NGA_2018_IRR_057_NGA-Ondo_Owo_Hs_2018-02-09</t>
  </si>
  <si>
    <t>LASV|NGA|2019|IRR_0062|2019-02-12</t>
  </si>
  <si>
    <t>LASV_NGA_2018_IRR_093_NGA-Ondo_Owo_Hs_2018-02-15</t>
  </si>
  <si>
    <t>LASV|NGA|2019|IRR_0053|2019-01-23</t>
  </si>
  <si>
    <t>LASV|NGA|2019|IRR_0017|2018-12-31</t>
  </si>
  <si>
    <t>LASV|NGA|2019|IRR_0024|2019-01-27</t>
  </si>
  <si>
    <t>LASV|NGA|2019|IRR_0097|2019-02-24</t>
  </si>
  <si>
    <t>LASV_NGA_2018_IRR_003_NGA-Ondo_Owo_Hs_2018-01-07</t>
  </si>
  <si>
    <t>LASV_NGA_2014_IRR_012_NGA-Ondo_Ifon_Hs_2014-08-10</t>
  </si>
  <si>
    <t>LASV_NGA_2015_IRR_006_NGA-Ondo_Ifon_Hs_2015-02-22</t>
  </si>
  <si>
    <t>LASV_NGA_2018_IRR_071_NGA-Ondo_Ifon_Hs_2018-02-11</t>
  </si>
  <si>
    <t>LASV_NGA_2015_IRR_012_NGA-Ondo_Ifon_Hs_2015-11-06</t>
  </si>
  <si>
    <t>LASV_NGA_2018_IRR_126_NGA-Ondo_Ute_Hs_2018-02-28</t>
  </si>
  <si>
    <t>LASV|NGA|2019|IRR_0020|2019-01-09</t>
  </si>
  <si>
    <t>LASV|NGA|2019|IRR_0048|2019-01-08</t>
  </si>
  <si>
    <t>LASV|NGA|2019|IRR_0112|2019-03-05</t>
  </si>
  <si>
    <t>LASV|NGA|2019|IRR_0107|2019-02-26</t>
  </si>
  <si>
    <t>LASV_NGA_2018_IRR_033_NGA-Edo_Jattu_Hs_2018-01-25</t>
  </si>
  <si>
    <t>LASV|NGA|2019|IRR_0071|2019-01-07</t>
  </si>
  <si>
    <t>LASV_NGA_2018_IRR_114_NGA-Edo_Ekpoma_Hs_2018-02-21</t>
  </si>
  <si>
    <t>LASV|NGA|2019|IRR_0092|2019-01-25</t>
  </si>
  <si>
    <t>LASV_NGA_2018_IRR_117_NGA-Edo_Afuze_Hs_2018-02-24</t>
  </si>
  <si>
    <t>GU481078|Nig08_A47|Human|Nigeria|2008-02</t>
  </si>
  <si>
    <t>LASV|NGA|2019|IRR_0081|2019-02-03</t>
  </si>
  <si>
    <t>LASV_NGA_2018_IRR_137_NGA-Edo_Uromi_Hs_2018-03-08</t>
  </si>
  <si>
    <t>LASV_NGA_2018_IRR_142_NGA-Edo_Uromi_Hs_2018-03-09</t>
  </si>
  <si>
    <t>LASV|NGA|2019|IRR_0105|2019-02-26</t>
  </si>
  <si>
    <t>LASV|NGA|2019|IRR_0013|2019-01-18</t>
  </si>
  <si>
    <t>LASV|NGA|2019|IRR_0114|2019-03-07</t>
  </si>
  <si>
    <t>LASV|NGA|2019|IRR_0080|2019-01-17</t>
  </si>
  <si>
    <t>LASV_NGA_2018_IRR_053_NGA-Edo_Uromi_Hs_2018-02-08</t>
  </si>
  <si>
    <t>LASV_NGA_2018_IRR_051_NGA-Edo_Uromi_Hs_2018-02-06</t>
  </si>
  <si>
    <t>LASV_NGA_2018_IRR_103_NGA-Edo_Uromi_Hs_2018-02-18</t>
  </si>
  <si>
    <t>LASV|NGA|2019|IRR_0025|2019-02-02</t>
  </si>
  <si>
    <t>LASV|NGA|2019|IRR_0006|2019-01-20</t>
  </si>
  <si>
    <t>LASV|NGA|2019|IRR_0051|2019-02-02</t>
  </si>
  <si>
    <t>LASV_NGA_2013_IRR_011_NGA-Rivers_Obio-Akpor_Hs_2013-03-18</t>
  </si>
  <si>
    <t>LASV|NGA|2019|IRR_0059|2019-02-17</t>
  </si>
  <si>
    <t>LASV|NGA|2019|IRR_0083|2019-01-11</t>
  </si>
  <si>
    <t>LASV_NGA_2018_IRR_119_NGA-Edo_Auchi_Hs_2018-02-25</t>
  </si>
  <si>
    <t>GU481074|Nig08_A37|Human|Nigeria|2008-02</t>
  </si>
  <si>
    <t>LASV|NGA|2019|IRR_0003|2019-01-15</t>
  </si>
  <si>
    <t>LASV|NGA|2019|IRR_0039|2019-01-17</t>
  </si>
  <si>
    <t>LASV|NGA|2019|IRR_0026|2019-02-02</t>
  </si>
  <si>
    <t>LASV_NGA_2018_IRR_082_NGA-Ondo_Owo_Hs_2018-02-13</t>
  </si>
  <si>
    <t>LASV_NGA_2018_IRR_019_NGA-Ondo_Owo_Hs_2018-01-17</t>
  </si>
  <si>
    <t>LASV|NGA|2019|IRR_0032|2019-01-27</t>
  </si>
  <si>
    <t>LASV_NGA_2013_IRR_001_NGA-Ondo_Imoru_Hs_2013-01-16</t>
  </si>
  <si>
    <t>LASV_NGA_2016_IRR_017_NGA-Ondo_Ifon_Hs_2016-02-06</t>
  </si>
  <si>
    <t>LASV_NGA_2018_IRR_075_NGA-Edo_BeninCity_Hs_2018-02-12</t>
  </si>
  <si>
    <t>LASV|NGA|2019|IRR_0021|2019-01-18</t>
  </si>
  <si>
    <t>LASV_NGA_2018_IRR_140_NGA-Ondo_Akure_Hs_2018-02-23</t>
  </si>
  <si>
    <t>LASV_NGA_2016_IRR_024_NGA-Ondo_Irun_Hs_2016-02-24</t>
  </si>
  <si>
    <t>LASV_NGA_2018_IRR_038_NGA-Ondo_Akure_Hs_2018-01-26</t>
  </si>
  <si>
    <t>LASV_NGA_2013_IRR_006_NGA-Ondo_Ifon_Hs_2013-01-30</t>
  </si>
  <si>
    <t>LASV|NGA|2019|IRR_0106|2019-02-28</t>
  </si>
  <si>
    <t>LASV|NGA|2019|IRR_0066|2019-01-14</t>
  </si>
  <si>
    <t>LASV|NGA|2019|IRR_0098|2019-03-03</t>
  </si>
  <si>
    <t>LASV|NGA|2019|IRR_0068|2019-01-08</t>
  </si>
  <si>
    <t>LASV_NGA_2018_IRR_074_NGA-Edo_Sobe_Hs_2018-02-12</t>
  </si>
  <si>
    <t>LASV_NGA_2017_IRR_005_NGA-Edo_Okeluse_Hs_2017-01-16</t>
  </si>
  <si>
    <t>LASV|NGA|2019|IRR_0002|2019-01-16</t>
  </si>
  <si>
    <t>LASV_NGA_2018_IRR_096_NGA-Delta_Asaba_Hs_2018-02-17</t>
  </si>
  <si>
    <t>LASV_NGA_2018_IRR_066_NGA-Edo_Auchi_Hs_2018-02-10</t>
  </si>
  <si>
    <t>LASV_NGA_2018_IRR_085_NGA-Edo_Sabongida-Ora_Hs_2018-02-14</t>
  </si>
  <si>
    <t>LASV|NGA|2019|IRR_0005|2019-01-18</t>
  </si>
  <si>
    <t>LASV|NGA|2019|IRR_0103|2019-02-28</t>
  </si>
  <si>
    <t>LASV_NGA_2018_IRR_120_NGA-Edo_Ehor_Hs_2018-02-25</t>
  </si>
  <si>
    <t>LASV_NGA_2018_IRR_077_NGA-Edo_Ubunmwonde_Hs_2018-02-12</t>
  </si>
  <si>
    <t>LASV|NGA|2019|IRR_0056|2019-01-07</t>
  </si>
  <si>
    <t>LASV|NGA|2019|IRR_0019|2019-01-08</t>
  </si>
  <si>
    <t>LASV_NGA_2016_IRR_002_NGA-Edo_NA_Hs_2016-02-15</t>
  </si>
  <si>
    <t>LASV_NGA_2018_IRR_079_NGA-Edo_Uromi_Hs_2018-02-12</t>
  </si>
  <si>
    <t>LASV|NGA|2019|IRR_0075|2019-02-15</t>
  </si>
  <si>
    <t>LASV_NGA_2012_IRR_010_NGA-Delta_Asaba_Hs_2012-05-28</t>
  </si>
  <si>
    <t>LASV_NGA_2018_IRR_042_NGA-Anambra_Nzam_Hs_2018-01-29</t>
  </si>
  <si>
    <t>LASV_NGA_2018_IRR_073_NGA-Anambra_Ode-Nzam_Hs_2018-02-12</t>
  </si>
  <si>
    <t>LASV_NGA_2018_IRR_110_NGA-Edo_Iyamho_Hs_2018-02-20</t>
  </si>
  <si>
    <t>LASV_NGA_2018_IRR_024_NGA-Edo_Agenegbode_Hs_2018-01-19</t>
  </si>
  <si>
    <t>LASV_NGA_2018_IRR_037_NGA-Edo_Ubiaja_Hs_2018-01-26</t>
  </si>
  <si>
    <t>LASV_NGA_2018_IRR_080_NGA-Edo_Ekpoma_Hs_2018-02-13</t>
  </si>
  <si>
    <t>KP640572|Ekpoma 521|Mastomys natalensis|Nigeria|2012-10-18</t>
  </si>
  <si>
    <t>LASV|NGA|2019|IRR_0022|2019-01-25</t>
  </si>
  <si>
    <t>LASV_NGA_2014_IRR_001_NGA-Edo_NA_Hs_2014-01-25</t>
  </si>
  <si>
    <t>LASV|NGA|2019|IRR_0072|2019-01-25</t>
  </si>
  <si>
    <t>LASV_NGA_2018_IRR_135_NGA-Edo_Ekpoma_Hs_2018-03-05</t>
  </si>
  <si>
    <t>LASV_NGA_2018_IRR_036_NGA-Edo_Ekpoma_Hs_2018-01-26</t>
  </si>
  <si>
    <t>LASV_NGA_2018_IRR_046_NGA-Edo_Ekpoma_Hs_2018-02-05</t>
  </si>
  <si>
    <t>LASV|NGA|2019|IRR_0100|2019-03-03</t>
  </si>
  <si>
    <t>LASV_NGA_2018_IRR_002_NGA-Edo_Ogwa_Hs_2018-01-07</t>
  </si>
  <si>
    <t>KP640562|Eguare-Egoro 88|Mastomys natalensis|Nigeria|2011-3-22</t>
  </si>
  <si>
    <t>KP640574|Ekpoma 549|Mastomys natalensis|Nigeria|2012-10-18</t>
  </si>
  <si>
    <t>KP640576|Ekpoma 601|Mastomys natalensis|Nigeria|2012-10-21</t>
  </si>
  <si>
    <t>KP640569|Ekpoma 508|Mastomys natalensis|Nigeria|2012-10-18</t>
  </si>
  <si>
    <t>KP640563|Eguare-Egoro_97|Mouse|Nigeria|2011-03-22</t>
  </si>
  <si>
    <t>KP640564|Eguare-Egoro 106|Mastomys natalensis|Nigeria|2011-3-23</t>
  </si>
  <si>
    <t>KP640566|Eguare-Egoro 240|Mastomys natalensis|Nigeria|2011-10-17</t>
  </si>
  <si>
    <t>KP640570|Ekpoma 512|Mastomys natalensis|Nigeria|2012-10-18</t>
  </si>
  <si>
    <t>KP640571|Ekpoma 518|Mastomys natalensis|Nigeria|2012-10-18</t>
  </si>
  <si>
    <t>LASV|NGA|2019|IRR_0064|2019-01-03</t>
  </si>
  <si>
    <t>LASV|NGA|2019|IRR_0102|2019-02-28</t>
  </si>
  <si>
    <t>LASV_NGA_2012_IRR_009_NGA-Kogi_Iyano_Hs_2012-04-12</t>
  </si>
  <si>
    <t>LASV_NGA_2018_IRR_133_NGA-Kogi_Idah_Hs_2018-03-02</t>
  </si>
  <si>
    <t>LASV_NGA_2018_IRR_078_NGA-Edo_Auchi_Hs_2018-02-12</t>
  </si>
  <si>
    <t>LASV_NGA_2014_IRR_005_NGA-Ebonyi_Abakaliki_Hs_2014-05-14</t>
  </si>
  <si>
    <t>LASV_NGA_2018_IRR_064_NGA-Ebonyi_Abakaliki_Hs_2018-02-03</t>
  </si>
  <si>
    <t>LASV_NGA_2013_IRR_004_NGA-Plateau_Bukuru_Hs_2013-01</t>
  </si>
  <si>
    <t>LASV_NGA_2013_IRR_005_NGA-Ebonyi_Abakaliki_Hs_2013-01-25</t>
  </si>
  <si>
    <t>LASV_NGA_2018_IRR_044_NGA-Ebonyi_AgbajaAzumili_Hs_2018-01-30</t>
  </si>
  <si>
    <t>LASV_NGA_2018_IRR_061_NGA-Ebonyi_Abakaliki_Hs_2018-02-07</t>
  </si>
  <si>
    <t>LASV_NGA_2018_IRR_099_NGA-Ebonyi_UmunwaguIdembia_Hs_2018-02-15</t>
  </si>
  <si>
    <t>LASV_NGA_2018_IRR_063_NGA-Ebonyi_Amogwe_Hs_2018-02-07</t>
  </si>
  <si>
    <t>LASV_NGA_2018_IRR_035_NGA-Ebonyi_Okposi-Okwa_Hs_2018-01-23</t>
  </si>
  <si>
    <t>LASV_NGA_2018_IRR_101_NGA-Ebonyi_Abakaliki_Hs_2018-02-12</t>
  </si>
  <si>
    <t>LASV_NGA_2018_IRR_034_NGA-Ebonyi_Iboko_Hs_2018-01-25</t>
  </si>
  <si>
    <t>LASV_NGA_2018_IRR_011_NGA-Ebonyi_Amauro_Hs_2018-01-13</t>
  </si>
  <si>
    <t>AF182223|las806320|Human|Nigeria|1989</t>
  </si>
  <si>
    <t>LASV_NGA_2016_IRR_018_NGA-Ebonyi_Ikwo_Hs_2016-02-09</t>
  </si>
  <si>
    <t>LASV_NGA_2018_IRR_060_NGA-Ebonyi_Isiama_Hs_2018-02-03</t>
  </si>
  <si>
    <t>AF182225|las806321|Human|Nigeria|1989</t>
  </si>
  <si>
    <t>AF182226|las806322|Human|Nigeria|1989</t>
  </si>
  <si>
    <t>LASV_NGA_2016_IRR_007_NGA-AkwaIbom_Uyo_Hs_2016-01-18</t>
  </si>
  <si>
    <t>LASV_NGA_2012_IRR_006_NGA-Rivers_PortHarcourt_Hs_2012-02-21</t>
  </si>
  <si>
    <t>LASV_NGA_2013_IRR_007_NGA-Enugu_Enugu_Hs_2013-02-03</t>
  </si>
  <si>
    <t>LASV_NGA_2013_IRR_012_NGA-Rivers_Ohio-Akpor_Hs_2013-04-11</t>
  </si>
  <si>
    <t>LASV_NGA_2016_IRR_013_NGA-Imo_Owerri_Hs_2016-01-27</t>
  </si>
  <si>
    <t>Kak-428_NGA-Osun_COORDINATES_Hp_2012-03-15</t>
  </si>
  <si>
    <t>OSPMH86_NGA-Osun_COORDINATES_Hp_2008-10</t>
  </si>
  <si>
    <t>OSPMH123_NGA-Osun_COORDINATES_Hp_2009-03</t>
  </si>
  <si>
    <t>OSPMH89_NGA-Osun_COORDINATES_Hp_2008-10</t>
  </si>
  <si>
    <t>OSPMH124_NGA-Osun_COORDINATES_Hp_2009-03</t>
  </si>
  <si>
    <t>LASV|NGA|2019|IRR_0082|2019-01-17</t>
  </si>
  <si>
    <t>LASV_NGA_2016_IRR_006_NGA-Ekiti_IdoEkiti_Hs_2016-01-14</t>
  </si>
  <si>
    <t>pinneo_NGA-Borno_Lassa_LS_1969</t>
  </si>
  <si>
    <t>segment_S</t>
  </si>
  <si>
    <t>acession_s</t>
  </si>
  <si>
    <t>Brissa</t>
  </si>
  <si>
    <t>Dalafilani</t>
  </si>
  <si>
    <t>Damania</t>
  </si>
  <si>
    <t>Khoria</t>
  </si>
  <si>
    <t>Safrani</t>
  </si>
  <si>
    <t>Silimi</t>
  </si>
  <si>
    <t>Sokourala</t>
  </si>
  <si>
    <t>Sonkonia</t>
  </si>
  <si>
    <t>Yarawalia</t>
  </si>
  <si>
    <t>Nyandeyama</t>
  </si>
  <si>
    <t>Yakaji</t>
  </si>
  <si>
    <t>admin1</t>
  </si>
  <si>
    <t>country</t>
  </si>
  <si>
    <t>location</t>
  </si>
  <si>
    <t>|M00362|Human|Guinea|2021-9-18</t>
  </si>
  <si>
    <t>|M00363|Human|Guinea|2021-8-17</t>
  </si>
  <si>
    <t>|M00008|Human|Guinea|2020-3-12</t>
  </si>
  <si>
    <t>|M00009|Human|Guinea|2020-7-10</t>
  </si>
  <si>
    <t>MT861993|KIS-2019|Human|Guinea|2019-1-28</t>
  </si>
  <si>
    <t>|M00364|Human|Guinea|2021-8-20</t>
  </si>
  <si>
    <t>|G0274|Human|Guinea|2021-5-7</t>
  </si>
  <si>
    <t>|G0405|Human|Guinea|2021-6-15</t>
  </si>
  <si>
    <t>7.7583242568908215</t>
  </si>
  <si>
    <t>-8.80485112963977</t>
  </si>
  <si>
    <t>7.466279947639486</t>
  </si>
  <si>
    <t>-9.193717046674044</t>
  </si>
  <si>
    <t>10.039045798272154</t>
  </si>
  <si>
    <t>-10.742183509781917</t>
  </si>
  <si>
    <t>7.345405564300894</t>
  </si>
  <si>
    <t>-8.95750223772971</t>
  </si>
  <si>
    <t>7.752556013559322</t>
  </si>
  <si>
    <t>-8.82958521282625</t>
  </si>
  <si>
    <t>8.568444666433754</t>
  </si>
  <si>
    <t>-10.133550115649975</t>
  </si>
  <si>
    <t>8.637178404200865</t>
  </si>
  <si>
    <t>-10.412028357069628</t>
  </si>
  <si>
    <t>9.191628059461946</t>
  </si>
  <si>
    <t>-10.114721933367678</t>
  </si>
  <si>
    <t>comments2</t>
  </si>
  <si>
    <t>KF478769|Soromba-R30|Mn|MLI|2012-03-03</t>
  </si>
  <si>
    <t>KF478768|Ouoma-R123|Mn|MLI|2012-03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</si>
</sst>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center" vertical="center"/>
    </xf>
    <xf numFmtId="164" fontId="0" fillId="0" borderId="0" xfId="0" applyNumberFormat="1" applyFill="1"/>
    <xf numFmtId="49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49" fontId="2" fillId="0" borderId="0" xfId="1" applyNumberFormat="1" applyFill="1"/>
    <xf numFmtId="0" fontId="2" fillId="0" borderId="0" xfId="1" applyFill="1"/>
    <xf numFmtId="0" fontId="3" fillId="0" borderId="0" xfId="1" applyFont="1" applyFill="1"/>
    <xf numFmtId="164" fontId="2" fillId="0" borderId="0" xfId="1" applyNumberFormat="1" applyFill="1"/>
    <xf numFmtId="49" fontId="0" fillId="0" borderId="0" xfId="0" applyNumberFormat="1" applyAlignment="1">
      <alignment horizontal="left"/>
    </xf>
  </cellXfs>
  <cellStyles count="2">
    <cellStyle name="Normal" xfId="0" builtinId="0"/>
    <cellStyle name="Normal 2" xfId="1" xr:uid="{06252FE1-FF18-48A4-889C-C4416C028AFC}"/>
  </cellStyles>
  <dxfs count="44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897B8-8127-46CA-BD5B-BAA6FC2E4346}" name="Table1" displayName="Table1" ref="A1:AO270" totalsRowShown="0" headerRowDxfId="43" dataDxfId="42" dataCellStyle="Normal 2">
  <autoFilter ref="A1:AO270" xr:uid="{280897B8-8127-46CA-BD5B-BAA6FC2E4346}"/>
  <tableColumns count="41">
    <tableColumn id="1" xr3:uid="{AF1648D1-C9B7-4E8D-B144-22DC8CF8DD3B}" name="Order" dataDxfId="41"/>
    <tableColumn id="2" xr3:uid="{F37E7490-D1F6-4773-B700-0F9F757A4F8C}" name="Name_For_file" dataDxfId="40">
      <calculatedColumnFormula>_xlfn.CONCAT(Table1[[#This Row],[Acession_no_.1]],"|",Table1[[#This Row],[Strain name]],"|",Table1[[#This Row],[host_simple]],"|",Table1[[#This Row],[Country]],"|",Table1[[#This Row],[date_text]])</calculatedColumnFormula>
    </tableColumn>
    <tableColumn id="40" xr3:uid="{C6BBFDBE-5F7A-4D55-9D88-A0D73BF1FC87}" name="Column3" dataDxfId="39"/>
    <tableColumn id="41" xr3:uid="{993BFFDC-C9C4-47CC-AEAE-31817A6C1F68}" name="final_selection" dataDxfId="38">
      <calculatedColumnFormula>IF(ISNUMBER(MATCH(B2,finalSelection!$A$1:$A$497,0)),"yes","no")</calculatedColumnFormula>
    </tableColumn>
    <tableColumn id="35" xr3:uid="{3EEB7631-3B8B-4D3D-AE4D-EADA8115C1A1}" name="Acession_no_.1" dataDxfId="37" dataCellStyle="Normal 2"/>
    <tableColumn id="3" xr3:uid="{1B8CAA92-CB70-4B55-A143-4BFE6E75F770}" name="Accession" dataDxfId="36" dataCellStyle="Normal 2"/>
    <tableColumn id="4" xr3:uid="{F67FE50C-2A2F-4B3C-9018-437F612E38F6}" name="SRA_Accession" dataDxfId="35" dataCellStyle="Normal 2"/>
    <tableColumn id="5" xr3:uid="{E336BE06-91F4-4D78-A210-DAB9AB16EC48}" name="Strain name" dataDxfId="34" dataCellStyle="Normal 2"/>
    <tableColumn id="6" xr3:uid="{93599873-946A-421B-AA89-95605CF45882}" name="Gene" dataDxfId="33" dataCellStyle="Normal 2"/>
    <tableColumn id="7" xr3:uid="{59615E76-056E-4BA5-A177-F68355DF1A6B}" name="in_alignment_file" dataDxfId="32" dataCellStyle="Normal 2"/>
    <tableColumn id="8" xr3:uid="{50991A8F-E876-4399-A94D-45B2BFC68427}" name="to_be_added" dataDxfId="31" dataCellStyle="Normal 2"/>
    <tableColumn id="9" xr3:uid="{CEBB40D6-4C69-479A-965C-F5DD14BF6BD8}" name="reason_for_exclusion" dataDxfId="30" dataCellStyle="Normal 2"/>
    <tableColumn id="39" xr3:uid="{674FCED3-4209-4526-A77A-FFA13C5CC2FE}" name="Column2" dataDxfId="29" dataCellStyle="Normal 2">
      <calculatedColumnFormula>VLOOKUP(C2,seqConcatenated!$A$1:$B$124,2, FALSE)</calculatedColumnFormula>
    </tableColumn>
    <tableColumn id="38" xr3:uid="{EB82F6FD-284A-463B-A5D2-D78536D87EB9}" name="comments" dataDxfId="28" dataCellStyle="Normal 2">
      <calculatedColumnFormula>IF(ISNA(Table1[[#This Row],[Column2]]),Table1[[#This Row],[comments2]], IF(O2="NA",M2,_xlfn.CONCAT(O2,"--",M2)))</calculatedColumnFormula>
    </tableColumn>
    <tableColumn id="10" xr3:uid="{BB275865-4869-41C2-8FE7-DB31406ACF77}" name="comments2" dataDxfId="27" dataCellStyle="Normal 2"/>
    <tableColumn id="11" xr3:uid="{17663A85-1FF1-4FBA-A145-FA26E63088CD}" name="Submitters" dataDxfId="26" dataCellStyle="Normal 2"/>
    <tableColumn id="12" xr3:uid="{B127EE01-04BA-45DF-B8BC-4B182633FD2C}" name="Release_Date" dataDxfId="25" dataCellStyle="Normal 2"/>
    <tableColumn id="13" xr3:uid="{B8EB72A1-F36C-42F3-B7A5-006ABCA29215}" name="Isolate" dataDxfId="24" dataCellStyle="Normal 2"/>
    <tableColumn id="14" xr3:uid="{E16A35B6-13CC-4E91-B7E7-06BDC9F8216E}" name="Species" dataDxfId="23" dataCellStyle="Normal 2"/>
    <tableColumn id="15" xr3:uid="{595A157F-833B-4668-A678-C076D2ACD26A}" name="Genus" dataDxfId="22" dataCellStyle="Normal 2"/>
    <tableColumn id="16" xr3:uid="{44B18B14-8C67-44EB-A98E-366425C995DB}" name="Family" dataDxfId="21" dataCellStyle="Normal 2"/>
    <tableColumn id="17" xr3:uid="{D6B8AA3D-17A7-45F9-BF2C-D847E3C16F7E}" name="Molecule_type" dataDxfId="20" dataCellStyle="Normal 2"/>
    <tableColumn id="18" xr3:uid="{D4C7956F-725B-4329-8769-F605E8FEB3BD}" name="Length" dataDxfId="19" dataCellStyle="Normal 2"/>
    <tableColumn id="19" xr3:uid="{A6623044-2EAF-4710-97CA-839C6E47E767}" name="Sequence_Type" dataDxfId="18" dataCellStyle="Normal 2"/>
    <tableColumn id="20" xr3:uid="{A5D12364-C949-4FE0-8D12-FF97B0673391}" name="Nuc_Completeness" dataDxfId="17" dataCellStyle="Normal 2"/>
    <tableColumn id="21" xr3:uid="{ED5451BA-0C3B-4E90-8B57-A48D70A5CCFE}" name="Genotype" dataDxfId="16" dataCellStyle="Normal 2"/>
    <tableColumn id="22" xr3:uid="{72F89BE1-C5F1-4E6D-8727-7EB284B319CF}" name="Segment" dataDxfId="15" dataCellStyle="Normal 2"/>
    <tableColumn id="23" xr3:uid="{D52D72A9-6009-47D0-926F-E23FE3E6E6D6}" name="Publications" dataDxfId="14" dataCellStyle="Normal 2"/>
    <tableColumn id="24" xr3:uid="{2C9B9517-CF7E-4267-A46A-809B0AF8BAF3}" name="Geo_Location" dataDxfId="13" dataCellStyle="Normal 2"/>
    <tableColumn id="25" xr3:uid="{8CB1502A-82FD-433F-A0B5-031A9F4DCABC}" name="Country" dataDxfId="12" dataCellStyle="Normal 2"/>
    <tableColumn id="26" xr3:uid="{CE242384-1C35-4634-A716-2F243B65324C}" name="latitute" dataDxfId="11" dataCellStyle="Normal 2"/>
    <tableColumn id="27" xr3:uid="{32AB2153-D9B6-409E-8726-26AADFD84172}" name="longtitude" dataDxfId="10" dataCellStyle="Normal 2"/>
    <tableColumn id="28" xr3:uid="{E585758A-3AE4-4772-88CD-D51D8E423879}" name="Information-re-location-coordinates" dataDxfId="9" dataCellStyle="Normal 2"/>
    <tableColumn id="29" xr3:uid="{D130DBE8-A248-4833-9D52-F0223FE68345}" name="USA" dataDxfId="8" dataCellStyle="Normal 2"/>
    <tableColumn id="30" xr3:uid="{8AA54353-2090-4FCD-A83D-F8A6F30794D3}" name="Host" dataDxfId="7" dataCellStyle="Normal 2"/>
    <tableColumn id="36" xr3:uid="{2E53458F-9984-47B7-866E-1D3BCC6AAC7F}" name="host_simple" dataDxfId="6" dataCellStyle="Normal 2">
      <calculatedColumnFormula>IF(Table1[[#This Row],[Host]]="Mastomys natalensis", "Mn", IF(Table1[[#This Row],[Host]]="Homo Sapiens","Human","PROBLEMMEMEMMEMEMEMM"))</calculatedColumnFormula>
    </tableColumn>
    <tableColumn id="31" xr3:uid="{2BAA0BB7-D66F-4085-8126-405E3021C6DA}" name="Isolation_Source" dataDxfId="5" dataCellStyle="Normal 2"/>
    <tableColumn id="32" xr3:uid="{35DA89F5-3DA2-4620-AA55-58D61C9448CB}" name="Collection_Date" dataDxfId="4" dataCellStyle="Normal 2"/>
    <tableColumn id="37" xr3:uid="{97361601-656F-45D9-98CF-0BD844460179}" name="date_text" dataDxfId="3" dataCellStyle="Normal 2"/>
    <tableColumn id="33" xr3:uid="{D0EF5AD7-A3AC-4CC9-8657-DFA7ADCBCB84}" name="BioSample" dataDxfId="2" dataCellStyle="Normal 2"/>
    <tableColumn id="34" xr3:uid="{7D77ED57-9D9F-43CD-825F-0BF75E17DCCF}" name="GenBank_Title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646B-EB04-4C5E-85B9-70C5160C8124}">
  <dimension ref="A1:AO270"/>
  <sheetViews>
    <sheetView workbookViewId="0">
      <selection activeCell="C11" sqref="C11"/>
    </sheetView>
  </sheetViews>
  <sheetFormatPr defaultRowHeight="14.4" x14ac:dyDescent="0.3"/>
  <cols>
    <col min="1" max="1" width="7.6640625" style="2" customWidth="1"/>
    <col min="2" max="2" width="46.44140625" style="2" bestFit="1" customWidth="1"/>
    <col min="3" max="3" width="46.44140625" style="2" customWidth="1"/>
    <col min="4" max="4" width="15.109375" style="2" customWidth="1"/>
    <col min="5" max="5" width="11.5546875" style="2" bestFit="1" customWidth="1"/>
    <col min="6" max="6" width="15.44140625" style="2" customWidth="1"/>
    <col min="7" max="7" width="16.88671875" style="2" bestFit="1" customWidth="1"/>
    <col min="8" max="8" width="7.21875" style="2" customWidth="1"/>
    <col min="9" max="9" width="17.44140625" style="2" customWidth="1"/>
    <col min="10" max="10" width="14.109375" style="2" customWidth="1"/>
    <col min="11" max="11" width="20.77734375" style="2" customWidth="1"/>
    <col min="12" max="12" width="32.44140625" style="2" bestFit="1" customWidth="1"/>
    <col min="13" max="13" width="36.33203125" style="2" bestFit="1" customWidth="1"/>
    <col min="14" max="14" width="132.88671875" style="2" bestFit="1" customWidth="1"/>
    <col min="15" max="15" width="159.109375" style="2" bestFit="1" customWidth="1"/>
    <col min="16" max="16" width="19.5546875" style="2" bestFit="1" customWidth="1"/>
    <col min="17" max="17" width="16.88671875" style="2" bestFit="1" customWidth="1"/>
    <col min="18" max="18" width="20.21875" style="2" bestFit="1" customWidth="1"/>
    <col min="19" max="19" width="15.33203125" style="2" bestFit="1" customWidth="1"/>
    <col min="20" max="20" width="11.21875" style="2" bestFit="1" customWidth="1"/>
    <col min="21" max="21" width="15.44140625" style="2" customWidth="1"/>
    <col min="22" max="22" width="8.6640625" style="2" customWidth="1"/>
    <col min="23" max="23" width="16.21875" style="2" customWidth="1"/>
    <col min="24" max="24" width="19" style="2" customWidth="1"/>
    <col min="25" max="25" width="11.109375" style="2" customWidth="1"/>
    <col min="26" max="26" width="10.33203125" style="2" customWidth="1"/>
    <col min="27" max="27" width="13.109375" style="2" customWidth="1"/>
    <col min="28" max="28" width="17.44140625" style="2" bestFit="1" customWidth="1"/>
    <col min="29" max="29" width="9.6640625" style="2" customWidth="1"/>
    <col min="30" max="30" width="11" style="2" bestFit="1" customWidth="1"/>
    <col min="31" max="31" width="11.6640625" style="2" bestFit="1" customWidth="1"/>
    <col min="32" max="32" width="103.77734375" style="2" bestFit="1" customWidth="1"/>
    <col min="33" max="33" width="6.44140625" style="2" customWidth="1"/>
    <col min="34" max="34" width="18.21875" style="2" bestFit="1" customWidth="1"/>
    <col min="35" max="35" width="18.21875" style="2" customWidth="1"/>
    <col min="36" max="36" width="16.88671875" style="2" customWidth="1"/>
    <col min="37" max="38" width="16.109375" style="3" customWidth="1"/>
    <col min="39" max="39" width="11.77734375" style="2" customWidth="1"/>
    <col min="40" max="40" width="104.21875" style="2" bestFit="1" customWidth="1"/>
    <col min="41" max="16384" width="8.88671875" style="2"/>
  </cols>
  <sheetData>
    <row r="1" spans="1:41" x14ac:dyDescent="0.3">
      <c r="A1" s="2" t="s">
        <v>0</v>
      </c>
      <c r="B1" s="2" t="s">
        <v>1</v>
      </c>
      <c r="C1" s="2" t="s">
        <v>1109</v>
      </c>
      <c r="D1" s="2" t="s">
        <v>1377</v>
      </c>
      <c r="E1" s="2" t="s">
        <v>1036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1107</v>
      </c>
      <c r="N1" s="2" t="s">
        <v>9</v>
      </c>
      <c r="O1" s="2" t="s">
        <v>1913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1037</v>
      </c>
      <c r="AK1" s="2" t="s">
        <v>30</v>
      </c>
      <c r="AL1" s="3" t="s">
        <v>31</v>
      </c>
      <c r="AM1" s="3" t="s">
        <v>1105</v>
      </c>
      <c r="AN1" s="2" t="s">
        <v>32</v>
      </c>
      <c r="AO1" s="2" t="s">
        <v>33</v>
      </c>
    </row>
    <row r="2" spans="1:41" x14ac:dyDescent="0.3">
      <c r="A2" s="2">
        <v>6</v>
      </c>
      <c r="B2" s="2" t="str">
        <f>_xlfn.CONCAT(Table1[[#This Row],[Acession_no_.1]],"|",Table1[[#This Row],[Strain name]],"|",Table1[[#This Row],[host_simple]],"|",Table1[[#This Row],[Country]],"|",Table1[[#This Row],[date_text]])</f>
        <v>MT119465|Bri-103|Mn|Guinea|2015-11-09</v>
      </c>
      <c r="C2" s="2" t="s">
        <v>1234</v>
      </c>
      <c r="D2" s="2" t="str">
        <f>IF(ISNUMBER(MATCH(B2,finalSelection!$A$1:$A$497,0)),"yes","no")</f>
        <v>yes</v>
      </c>
      <c r="E2" s="2" t="s">
        <v>767</v>
      </c>
      <c r="F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37</v>
      </c>
      <c r="M2" s="2" t="str">
        <f>VLOOKUP(C2,seqConcatenated!$A$1:$B$124,2, FALSE)</f>
        <v>MT119465 and MT119559 are merged</v>
      </c>
      <c r="N2" s="2" t="str">
        <f>IF(ISNA(Table1[[#This Row],[Column2]]),Table1[[#This Row],[comments2]], IF(O2="NA",M2,_xlfn.CONCAT(O2,"--",M2)))</f>
        <v>MT119465 and MT119559 are merged</v>
      </c>
      <c r="O2" s="2" t="s">
        <v>39</v>
      </c>
      <c r="P2" s="2" t="s">
        <v>40</v>
      </c>
      <c r="Q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>
        <v>888</v>
      </c>
      <c r="X2" s="2" t="s">
        <v>46</v>
      </c>
      <c r="Y2" s="2" t="s">
        <v>47</v>
      </c>
      <c r="AA2" s="2" t="s">
        <v>48</v>
      </c>
      <c r="AB2" s="2">
        <v>1</v>
      </c>
      <c r="AC2" s="2" t="s">
        <v>49</v>
      </c>
      <c r="AD2" s="2" t="s">
        <v>50</v>
      </c>
      <c r="AE2" s="4">
        <v>10.216833299999999</v>
      </c>
      <c r="AF2" s="4">
        <v>-10.6887667</v>
      </c>
      <c r="AG2" s="2" t="s">
        <v>51</v>
      </c>
      <c r="AI2" s="2" t="s">
        <v>52</v>
      </c>
      <c r="AJ2" s="2" t="str">
        <f>IF(Table1[[#This Row],[Host]]="Mastomys natalensis", "Mn", IF(Table1[[#This Row],[Host]]="Homo Sapiens","Human","PROBLEMMEMEMMEMEMEMM"))</f>
        <v>Mn</v>
      </c>
      <c r="AK2" s="2" t="s">
        <v>53</v>
      </c>
      <c r="AL2" s="5">
        <v>42317</v>
      </c>
      <c r="AM2" s="6" t="s">
        <v>1038</v>
      </c>
      <c r="AO2" s="2" t="s">
        <v>54</v>
      </c>
    </row>
    <row r="3" spans="1:41" x14ac:dyDescent="0.3">
      <c r="A3" s="2">
        <v>100</v>
      </c>
      <c r="B3" s="2" t="str">
        <f>_xlfn.CONCAT(Table1[[#This Row],[Acession_no_.1]],"|",Table1[[#This Row],[Strain name]],"|",Table1[[#This Row],[host_simple]],"|",Table1[[#This Row],[Country]],"|",Table1[[#This Row],[date_text]])</f>
        <v>MT119559|Bri-103|Mn|Guinea|2015-11-09</v>
      </c>
      <c r="C3" s="2" t="s">
        <v>1234</v>
      </c>
      <c r="D3" s="2" t="str">
        <f>IF(ISNUMBER(MATCH(B3,finalSelection!$A$1:$A$497,0)),"yes","no")</f>
        <v>no</v>
      </c>
      <c r="E3" s="2" t="s">
        <v>768</v>
      </c>
      <c r="F3" s="2" t="s">
        <v>55</v>
      </c>
      <c r="H3" s="2" t="s">
        <v>35</v>
      </c>
      <c r="I3" s="2" t="s">
        <v>56</v>
      </c>
      <c r="J3" s="2" t="s">
        <v>37</v>
      </c>
      <c r="K3" s="2" t="s">
        <v>38</v>
      </c>
      <c r="L3" s="2" t="s">
        <v>37</v>
      </c>
      <c r="M3" s="2" t="str">
        <f>VLOOKUP(C3,seqConcatenated!$A$1:$B$124,2, FALSE)</f>
        <v>MT119465 and MT119559 are merged</v>
      </c>
      <c r="N3" s="2" t="str">
        <f>IF(ISNA(Table1[[#This Row],[Column2]]),Table1[[#This Row],[comments2]], IF(O3="NA",M3,_xlfn.CONCAT(O3,"--",M3)))</f>
        <v>MT119465 and MT119559 are merged</v>
      </c>
      <c r="O3" s="2" t="s">
        <v>39</v>
      </c>
      <c r="P3" s="2" t="s">
        <v>40</v>
      </c>
      <c r="Q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>
        <v>735</v>
      </c>
      <c r="X3" s="2" t="s">
        <v>46</v>
      </c>
      <c r="Y3" s="2" t="s">
        <v>47</v>
      </c>
      <c r="AA3" s="2" t="s">
        <v>48</v>
      </c>
      <c r="AB3" s="2">
        <v>1</v>
      </c>
      <c r="AC3" s="2" t="s">
        <v>49</v>
      </c>
      <c r="AD3" s="2" t="s">
        <v>50</v>
      </c>
      <c r="AE3" s="4">
        <v>10.216833299999999</v>
      </c>
      <c r="AF3" s="4">
        <v>-10.6887667</v>
      </c>
      <c r="AG3" s="2" t="s">
        <v>51</v>
      </c>
      <c r="AI3" s="2" t="s">
        <v>52</v>
      </c>
      <c r="AJ3" s="2" t="str">
        <f>IF(Table1[[#This Row],[Host]]="Mastomys natalensis", "Mn", IF(Table1[[#This Row],[Host]]="Homo Sapiens","Human","PROBLEMMEMEMMEMEMEMM"))</f>
        <v>Mn</v>
      </c>
      <c r="AK3" s="2" t="s">
        <v>53</v>
      </c>
      <c r="AL3" s="5">
        <v>42317</v>
      </c>
      <c r="AM3" s="6" t="s">
        <v>1038</v>
      </c>
      <c r="AO3" s="2" t="s">
        <v>57</v>
      </c>
    </row>
    <row r="4" spans="1:41" x14ac:dyDescent="0.3">
      <c r="A4" s="2">
        <v>7</v>
      </c>
      <c r="B4" s="2" t="str">
        <f>_xlfn.CONCAT(Table1[[#This Row],[Acession_no_.1]],"|",Table1[[#This Row],[Strain name]],"|",Table1[[#This Row],[host_simple]],"|",Table1[[#This Row],[Country]],"|",Table1[[#This Row],[date_text]])</f>
        <v>MT119466|Bri-115|Mn|Guinea|2015-11-09</v>
      </c>
      <c r="C4" s="2" t="s">
        <v>1235</v>
      </c>
      <c r="D4" s="2" t="str">
        <f>IF(ISNUMBER(MATCH(B4,finalSelection!$A$1:$A$497,0)),"yes","no")</f>
        <v>yes</v>
      </c>
      <c r="E4" s="2" t="s">
        <v>769</v>
      </c>
      <c r="F4" s="2" t="s">
        <v>58</v>
      </c>
      <c r="H4" s="2" t="s">
        <v>59</v>
      </c>
      <c r="I4" s="2" t="s">
        <v>36</v>
      </c>
      <c r="J4" s="2" t="s">
        <v>37</v>
      </c>
      <c r="K4" s="2" t="s">
        <v>38</v>
      </c>
      <c r="L4" s="2" t="s">
        <v>37</v>
      </c>
      <c r="M4" s="2" t="str">
        <f>VLOOKUP(C4,seqConcatenated!$A$1:$B$124,2, FALSE)</f>
        <v>MT119466 and MT119560 are merged</v>
      </c>
      <c r="N4" s="2" t="str">
        <f>IF(ISNA(Table1[[#This Row],[Column2]]),Table1[[#This Row],[comments2]], IF(O4="NA",M4,_xlfn.CONCAT(O4,"--",M4)))</f>
        <v>MT119466 and MT119560 are merged</v>
      </c>
      <c r="O4" s="2" t="s">
        <v>39</v>
      </c>
      <c r="P4" s="2" t="s">
        <v>40</v>
      </c>
      <c r="Q4" s="2" t="s">
        <v>41</v>
      </c>
      <c r="S4" s="2" t="s">
        <v>42</v>
      </c>
      <c r="T4" s="2" t="s">
        <v>43</v>
      </c>
      <c r="U4" s="2" t="s">
        <v>44</v>
      </c>
      <c r="V4" s="2" t="s">
        <v>45</v>
      </c>
      <c r="W4" s="2">
        <v>888</v>
      </c>
      <c r="X4" s="2" t="s">
        <v>46</v>
      </c>
      <c r="Y4" s="2" t="s">
        <v>47</v>
      </c>
      <c r="AA4" s="2" t="s">
        <v>48</v>
      </c>
      <c r="AB4" s="2">
        <v>1</v>
      </c>
      <c r="AC4" s="2" t="s">
        <v>49</v>
      </c>
      <c r="AD4" s="2" t="s">
        <v>50</v>
      </c>
      <c r="AE4" s="4">
        <v>10.216833299999999</v>
      </c>
      <c r="AF4" s="4">
        <v>-10.6887667</v>
      </c>
      <c r="AG4" s="2" t="s">
        <v>51</v>
      </c>
      <c r="AI4" s="2" t="s">
        <v>52</v>
      </c>
      <c r="AJ4" s="2" t="str">
        <f>IF(Table1[[#This Row],[Host]]="Mastomys natalensis", "Mn", IF(Table1[[#This Row],[Host]]="Homo Sapiens","Human","PROBLEMMEMEMMEMEMEMM"))</f>
        <v>Mn</v>
      </c>
      <c r="AK4" s="2" t="s">
        <v>53</v>
      </c>
      <c r="AL4" s="5">
        <v>42317</v>
      </c>
      <c r="AM4" s="6" t="s">
        <v>1038</v>
      </c>
      <c r="AO4" s="2" t="s">
        <v>60</v>
      </c>
    </row>
    <row r="5" spans="1:41" x14ac:dyDescent="0.3">
      <c r="A5" s="2">
        <v>101</v>
      </c>
      <c r="B5" s="2" t="str">
        <f>_xlfn.CONCAT(Table1[[#This Row],[Acession_no_.1]],"|",Table1[[#This Row],[Strain name]],"|",Table1[[#This Row],[host_simple]],"|",Table1[[#This Row],[Country]],"|",Table1[[#This Row],[date_text]])</f>
        <v>MT119560|Bri-115|Mn|Guinea|2015-11-09</v>
      </c>
      <c r="C5" s="2" t="s">
        <v>1235</v>
      </c>
      <c r="D5" s="2" t="str">
        <f>IF(ISNUMBER(MATCH(B5,finalSelection!$A$1:$A$497,0)),"yes","no")</f>
        <v>no</v>
      </c>
      <c r="E5" s="2" t="s">
        <v>770</v>
      </c>
      <c r="F5" s="2" t="s">
        <v>61</v>
      </c>
      <c r="H5" s="2" t="s">
        <v>59</v>
      </c>
      <c r="I5" s="2" t="s">
        <v>56</v>
      </c>
      <c r="J5" s="2" t="s">
        <v>37</v>
      </c>
      <c r="K5" s="2" t="s">
        <v>38</v>
      </c>
      <c r="L5" s="2" t="s">
        <v>37</v>
      </c>
      <c r="M5" s="2" t="str">
        <f>VLOOKUP(C5,seqConcatenated!$A$1:$B$124,2, FALSE)</f>
        <v>MT119466 and MT119560 are merged</v>
      </c>
      <c r="N5" s="2" t="str">
        <f>IF(ISNA(Table1[[#This Row],[Column2]]),Table1[[#This Row],[comments2]], IF(O5="NA",M5,_xlfn.CONCAT(O5,"--",M5)))</f>
        <v>MT119466 and MT119560 are merged</v>
      </c>
      <c r="O5" s="2" t="s">
        <v>39</v>
      </c>
      <c r="P5" s="2" t="s">
        <v>40</v>
      </c>
      <c r="Q5" s="2" t="s">
        <v>41</v>
      </c>
      <c r="S5" s="2" t="s">
        <v>42</v>
      </c>
      <c r="T5" s="2" t="s">
        <v>43</v>
      </c>
      <c r="U5" s="2" t="s">
        <v>44</v>
      </c>
      <c r="V5" s="2" t="s">
        <v>45</v>
      </c>
      <c r="W5" s="2">
        <v>735</v>
      </c>
      <c r="X5" s="2" t="s">
        <v>46</v>
      </c>
      <c r="Y5" s="2" t="s">
        <v>47</v>
      </c>
      <c r="AA5" s="2" t="s">
        <v>48</v>
      </c>
      <c r="AB5" s="2">
        <v>1</v>
      </c>
      <c r="AC5" s="2" t="s">
        <v>49</v>
      </c>
      <c r="AD5" s="2" t="s">
        <v>50</v>
      </c>
      <c r="AE5" s="4">
        <v>10.216833299999999</v>
      </c>
      <c r="AF5" s="4">
        <v>-10.6887667</v>
      </c>
      <c r="AG5" s="2" t="s">
        <v>51</v>
      </c>
      <c r="AI5" s="2" t="s">
        <v>52</v>
      </c>
      <c r="AJ5" s="2" t="str">
        <f>IF(Table1[[#This Row],[Host]]="Mastomys natalensis", "Mn", IF(Table1[[#This Row],[Host]]="Homo Sapiens","Human","PROBLEMMEMEMMEMEMEMM"))</f>
        <v>Mn</v>
      </c>
      <c r="AK5" s="2" t="s">
        <v>53</v>
      </c>
      <c r="AL5" s="5">
        <v>42317</v>
      </c>
      <c r="AM5" s="6" t="s">
        <v>1038</v>
      </c>
      <c r="AO5" s="2" t="s">
        <v>62</v>
      </c>
    </row>
    <row r="6" spans="1:41" x14ac:dyDescent="0.3">
      <c r="A6" s="2">
        <v>8</v>
      </c>
      <c r="B6" s="2" t="str">
        <f>_xlfn.CONCAT(Table1[[#This Row],[Acession_no_.1]],"|",Table1[[#This Row],[Strain name]],"|",Table1[[#This Row],[host_simple]],"|",Table1[[#This Row],[Country]],"|",Table1[[#This Row],[date_text]])</f>
        <v>MT119467|Bri-116|Mn|Guinea|2015-11-09</v>
      </c>
      <c r="C6" s="2" t="s">
        <v>1236</v>
      </c>
      <c r="D6" s="2" t="str">
        <f>IF(ISNUMBER(MATCH(B6,finalSelection!$A$1:$A$497,0)),"yes","no")</f>
        <v>no</v>
      </c>
      <c r="E6" s="2" t="s">
        <v>771</v>
      </c>
      <c r="F6" s="2" t="s">
        <v>63</v>
      </c>
      <c r="H6" s="2" t="s">
        <v>64</v>
      </c>
      <c r="I6" s="2" t="s">
        <v>36</v>
      </c>
      <c r="J6" s="2" t="s">
        <v>37</v>
      </c>
      <c r="K6" s="2" t="s">
        <v>38</v>
      </c>
      <c r="L6" s="2" t="s">
        <v>37</v>
      </c>
      <c r="M6" s="2" t="str">
        <f>VLOOKUP(C6,seqConcatenated!$A$1:$B$124,2, FALSE)</f>
        <v>MT119467 and MT119561 are merged</v>
      </c>
      <c r="N6" s="2" t="str">
        <f>IF(ISNA(Table1[[#This Row],[Column2]]),Table1[[#This Row],[comments2]], IF(O6="NA",M6,_xlfn.CONCAT(O6,"--",M6)))</f>
        <v>MT119467 and MT119561 are merged</v>
      </c>
      <c r="O6" s="2" t="s">
        <v>39</v>
      </c>
      <c r="P6" s="2" t="s">
        <v>40</v>
      </c>
      <c r="Q6" s="2" t="s">
        <v>41</v>
      </c>
      <c r="S6" s="2" t="s">
        <v>42</v>
      </c>
      <c r="T6" s="2" t="s">
        <v>43</v>
      </c>
      <c r="U6" s="2" t="s">
        <v>44</v>
      </c>
      <c r="V6" s="2" t="s">
        <v>45</v>
      </c>
      <c r="W6" s="2">
        <v>888</v>
      </c>
      <c r="X6" s="2" t="s">
        <v>46</v>
      </c>
      <c r="Y6" s="2" t="s">
        <v>47</v>
      </c>
      <c r="AA6" s="2" t="s">
        <v>48</v>
      </c>
      <c r="AB6" s="2">
        <v>1</v>
      </c>
      <c r="AC6" s="2" t="s">
        <v>49</v>
      </c>
      <c r="AD6" s="2" t="s">
        <v>50</v>
      </c>
      <c r="AE6" s="4">
        <v>10.216833299999999</v>
      </c>
      <c r="AF6" s="4">
        <v>-10.6887667</v>
      </c>
      <c r="AG6" s="2" t="s">
        <v>51</v>
      </c>
      <c r="AI6" s="2" t="s">
        <v>52</v>
      </c>
      <c r="AJ6" s="2" t="str">
        <f>IF(Table1[[#This Row],[Host]]="Mastomys natalensis", "Mn", IF(Table1[[#This Row],[Host]]="Homo Sapiens","Human","PROBLEMMEMEMMEMEMEMM"))</f>
        <v>Mn</v>
      </c>
      <c r="AK6" s="2" t="s">
        <v>53</v>
      </c>
      <c r="AL6" s="5">
        <v>42317</v>
      </c>
      <c r="AM6" s="6" t="s">
        <v>1038</v>
      </c>
      <c r="AO6" s="2" t="s">
        <v>65</v>
      </c>
    </row>
    <row r="7" spans="1:41" x14ac:dyDescent="0.3">
      <c r="A7" s="2">
        <v>102</v>
      </c>
      <c r="B7" s="2" t="str">
        <f>_xlfn.CONCAT(Table1[[#This Row],[Acession_no_.1]],"|",Table1[[#This Row],[Strain name]],"|",Table1[[#This Row],[host_simple]],"|",Table1[[#This Row],[Country]],"|",Table1[[#This Row],[date_text]])</f>
        <v>MT119561|Bri-116|Mn|Guinea|2015-11-09</v>
      </c>
      <c r="C7" s="2" t="s">
        <v>1236</v>
      </c>
      <c r="D7" s="2" t="str">
        <f>IF(ISNUMBER(MATCH(B7,finalSelection!$A$1:$A$497,0)),"yes","no")</f>
        <v>no</v>
      </c>
      <c r="E7" s="2" t="s">
        <v>772</v>
      </c>
      <c r="F7" s="2" t="s">
        <v>66</v>
      </c>
      <c r="H7" s="2" t="s">
        <v>64</v>
      </c>
      <c r="I7" s="2" t="s">
        <v>56</v>
      </c>
      <c r="J7" s="2" t="s">
        <v>37</v>
      </c>
      <c r="K7" s="2" t="s">
        <v>38</v>
      </c>
      <c r="L7" s="2" t="s">
        <v>37</v>
      </c>
      <c r="M7" s="2" t="str">
        <f>VLOOKUP(C7,seqConcatenated!$A$1:$B$124,2, FALSE)</f>
        <v>MT119467 and MT119561 are merged</v>
      </c>
      <c r="N7" s="2" t="str">
        <f>IF(ISNA(Table1[[#This Row],[Column2]]),Table1[[#This Row],[comments2]], IF(O7="NA",M7,_xlfn.CONCAT(O7,"--",M7)))</f>
        <v>MT119467 and MT119561 are merged</v>
      </c>
      <c r="O7" s="2" t="s">
        <v>39</v>
      </c>
      <c r="P7" s="2" t="s">
        <v>40</v>
      </c>
      <c r="Q7" s="2" t="s">
        <v>41</v>
      </c>
      <c r="S7" s="2" t="s">
        <v>42</v>
      </c>
      <c r="T7" s="2" t="s">
        <v>43</v>
      </c>
      <c r="U7" s="2" t="s">
        <v>44</v>
      </c>
      <c r="V7" s="2" t="s">
        <v>45</v>
      </c>
      <c r="W7" s="2">
        <v>735</v>
      </c>
      <c r="X7" s="2" t="s">
        <v>46</v>
      </c>
      <c r="Y7" s="2" t="s">
        <v>47</v>
      </c>
      <c r="AA7" s="2" t="s">
        <v>48</v>
      </c>
      <c r="AB7" s="2">
        <v>1</v>
      </c>
      <c r="AC7" s="2" t="s">
        <v>49</v>
      </c>
      <c r="AD7" s="2" t="s">
        <v>50</v>
      </c>
      <c r="AE7" s="4">
        <v>10.216833299999999</v>
      </c>
      <c r="AF7" s="4">
        <v>-10.6887667</v>
      </c>
      <c r="AG7" s="2" t="s">
        <v>51</v>
      </c>
      <c r="AI7" s="2" t="s">
        <v>52</v>
      </c>
      <c r="AJ7" s="2" t="str">
        <f>IF(Table1[[#This Row],[Host]]="Mastomys natalensis", "Mn", IF(Table1[[#This Row],[Host]]="Homo Sapiens","Human","PROBLEMMEMEMMEMEMEMM"))</f>
        <v>Mn</v>
      </c>
      <c r="AK7" s="2" t="s">
        <v>53</v>
      </c>
      <c r="AL7" s="5">
        <v>42317</v>
      </c>
      <c r="AM7" s="6" t="s">
        <v>1038</v>
      </c>
      <c r="AO7" s="2" t="s">
        <v>67</v>
      </c>
    </row>
    <row r="8" spans="1:41" x14ac:dyDescent="0.3">
      <c r="A8" s="2">
        <v>9</v>
      </c>
      <c r="B8" s="2" t="str">
        <f>_xlfn.CONCAT(Table1[[#This Row],[Acession_no_.1]],"|",Table1[[#This Row],[Strain name]],"|",Table1[[#This Row],[host_simple]],"|",Table1[[#This Row],[Country]],"|",Table1[[#This Row],[date_text]])</f>
        <v>MT119468|Bri-124|Mn|Guinea|2015-11-09</v>
      </c>
      <c r="C8" s="2" t="s">
        <v>1237</v>
      </c>
      <c r="D8" s="2" t="str">
        <f>IF(ISNUMBER(MATCH(B8,finalSelection!$A$1:$A$497,0)),"yes","no")</f>
        <v>yes</v>
      </c>
      <c r="E8" s="2" t="s">
        <v>773</v>
      </c>
      <c r="F8" s="2" t="s">
        <v>68</v>
      </c>
      <c r="H8" s="2" t="s">
        <v>69</v>
      </c>
      <c r="I8" s="2" t="s">
        <v>36</v>
      </c>
      <c r="J8" s="2" t="s">
        <v>37</v>
      </c>
      <c r="K8" s="2" t="s">
        <v>38</v>
      </c>
      <c r="L8" s="2" t="s">
        <v>37</v>
      </c>
      <c r="M8" s="2" t="str">
        <f>VLOOKUP(C8,seqConcatenated!$A$1:$B$124,2, FALSE)</f>
        <v>MT119468 and MT119562 are merged</v>
      </c>
      <c r="N8" s="2" t="str">
        <f>IF(ISNA(Table1[[#This Row],[Column2]]),Table1[[#This Row],[comments2]], IF(O8="NA",M8,_xlfn.CONCAT(O8,"--",M8)))</f>
        <v>MT119468 and MT119562 are merged</v>
      </c>
      <c r="O8" s="2" t="s">
        <v>39</v>
      </c>
      <c r="P8" s="2" t="s">
        <v>40</v>
      </c>
      <c r="Q8" s="2" t="s">
        <v>41</v>
      </c>
      <c r="S8" s="2" t="s">
        <v>42</v>
      </c>
      <c r="T8" s="2" t="s">
        <v>43</v>
      </c>
      <c r="U8" s="2" t="s">
        <v>44</v>
      </c>
      <c r="V8" s="2" t="s">
        <v>45</v>
      </c>
      <c r="W8" s="2">
        <v>888</v>
      </c>
      <c r="X8" s="2" t="s">
        <v>46</v>
      </c>
      <c r="Y8" s="2" t="s">
        <v>47</v>
      </c>
      <c r="AA8" s="2" t="s">
        <v>48</v>
      </c>
      <c r="AB8" s="2">
        <v>1</v>
      </c>
      <c r="AC8" s="2" t="s">
        <v>49</v>
      </c>
      <c r="AD8" s="2" t="s">
        <v>50</v>
      </c>
      <c r="AE8" s="4">
        <v>10.216833299999999</v>
      </c>
      <c r="AF8" s="4">
        <v>-10.6887667</v>
      </c>
      <c r="AG8" s="2" t="s">
        <v>51</v>
      </c>
      <c r="AI8" s="2" t="s">
        <v>52</v>
      </c>
      <c r="AJ8" s="2" t="str">
        <f>IF(Table1[[#This Row],[Host]]="Mastomys natalensis", "Mn", IF(Table1[[#This Row],[Host]]="Homo Sapiens","Human","PROBLEMMEMEMMEMEMEMM"))</f>
        <v>Mn</v>
      </c>
      <c r="AK8" s="2" t="s">
        <v>53</v>
      </c>
      <c r="AL8" s="5">
        <v>42317</v>
      </c>
      <c r="AM8" s="6" t="s">
        <v>1038</v>
      </c>
      <c r="AO8" s="2" t="s">
        <v>70</v>
      </c>
    </row>
    <row r="9" spans="1:41" x14ac:dyDescent="0.3">
      <c r="A9" s="2">
        <v>103</v>
      </c>
      <c r="B9" s="2" t="str">
        <f>_xlfn.CONCAT(Table1[[#This Row],[Acession_no_.1]],"|",Table1[[#This Row],[Strain name]],"|",Table1[[#This Row],[host_simple]],"|",Table1[[#This Row],[Country]],"|",Table1[[#This Row],[date_text]])</f>
        <v>MT119562|Bri-124|Mn|Guinea|2015-11-09</v>
      </c>
      <c r="C9" s="2" t="s">
        <v>1237</v>
      </c>
      <c r="D9" s="2" t="str">
        <f>IF(ISNUMBER(MATCH(B9,finalSelection!$A$1:$A$497,0)),"yes","no")</f>
        <v>no</v>
      </c>
      <c r="E9" s="2" t="s">
        <v>774</v>
      </c>
      <c r="F9" s="2" t="s">
        <v>71</v>
      </c>
      <c r="H9" s="2" t="s">
        <v>69</v>
      </c>
      <c r="I9" s="2" t="s">
        <v>56</v>
      </c>
      <c r="J9" s="2" t="s">
        <v>37</v>
      </c>
      <c r="K9" s="2" t="s">
        <v>38</v>
      </c>
      <c r="L9" s="2" t="s">
        <v>37</v>
      </c>
      <c r="M9" s="2" t="str">
        <f>VLOOKUP(C9,seqConcatenated!$A$1:$B$124,2, FALSE)</f>
        <v>MT119468 and MT119562 are merged</v>
      </c>
      <c r="N9" s="2" t="str">
        <f>IF(ISNA(Table1[[#This Row],[Column2]]),Table1[[#This Row],[comments2]], IF(O9="NA",M9,_xlfn.CONCAT(O9,"--",M9)))</f>
        <v>MT119468 and MT119562 are merged</v>
      </c>
      <c r="O9" s="2" t="s">
        <v>39</v>
      </c>
      <c r="P9" s="2" t="s">
        <v>40</v>
      </c>
      <c r="Q9" s="2" t="s">
        <v>41</v>
      </c>
      <c r="S9" s="2" t="s">
        <v>42</v>
      </c>
      <c r="T9" s="2" t="s">
        <v>43</v>
      </c>
      <c r="U9" s="2" t="s">
        <v>44</v>
      </c>
      <c r="V9" s="2" t="s">
        <v>45</v>
      </c>
      <c r="W9" s="2">
        <v>735</v>
      </c>
      <c r="X9" s="2" t="s">
        <v>46</v>
      </c>
      <c r="Y9" s="2" t="s">
        <v>47</v>
      </c>
      <c r="AA9" s="2" t="s">
        <v>48</v>
      </c>
      <c r="AB9" s="2">
        <v>1</v>
      </c>
      <c r="AC9" s="2" t="s">
        <v>49</v>
      </c>
      <c r="AD9" s="2" t="s">
        <v>50</v>
      </c>
      <c r="AE9" s="4">
        <v>10.216833299999999</v>
      </c>
      <c r="AF9" s="4">
        <v>-10.6887667</v>
      </c>
      <c r="AG9" s="2" t="s">
        <v>51</v>
      </c>
      <c r="AI9" s="2" t="s">
        <v>52</v>
      </c>
      <c r="AJ9" s="2" t="str">
        <f>IF(Table1[[#This Row],[Host]]="Mastomys natalensis", "Mn", IF(Table1[[#This Row],[Host]]="Homo Sapiens","Human","PROBLEMMEMEMMEMEMEMM"))</f>
        <v>Mn</v>
      </c>
      <c r="AK9" s="2" t="s">
        <v>53</v>
      </c>
      <c r="AL9" s="5">
        <v>42317</v>
      </c>
      <c r="AM9" s="6" t="s">
        <v>1038</v>
      </c>
      <c r="AO9" s="2" t="s">
        <v>72</v>
      </c>
    </row>
    <row r="10" spans="1:41" x14ac:dyDescent="0.3">
      <c r="A10" s="2">
        <v>10</v>
      </c>
      <c r="B10" s="2" t="str">
        <f>_xlfn.CONCAT(Table1[[#This Row],[Acession_no_.1]],"|",Table1[[#This Row],[Strain name]],"|",Table1[[#This Row],[host_simple]],"|",Table1[[#This Row],[Country]],"|",Table1[[#This Row],[date_text]])</f>
        <v>MT119469|Bri-145|Mn|Guinea|2015-11-10</v>
      </c>
      <c r="C10" s="2" t="s">
        <v>1238</v>
      </c>
      <c r="D10" s="2" t="str">
        <f>IF(ISNUMBER(MATCH(B10,finalSelection!$A$1:$A$497,0)),"yes","no")</f>
        <v>yes</v>
      </c>
      <c r="E10" s="2" t="s">
        <v>775</v>
      </c>
      <c r="F10" s="2" t="s">
        <v>73</v>
      </c>
      <c r="H10" s="2" t="s">
        <v>74</v>
      </c>
      <c r="I10" s="2" t="s">
        <v>36</v>
      </c>
      <c r="J10" s="2" t="s">
        <v>37</v>
      </c>
      <c r="K10" s="2" t="s">
        <v>38</v>
      </c>
      <c r="L10" s="2" t="s">
        <v>37</v>
      </c>
      <c r="M10" s="2" t="str">
        <f>VLOOKUP(C10,seqConcatenated!$A$1:$B$124,2, FALSE)</f>
        <v>MT119469 and MT119563 are merged</v>
      </c>
      <c r="N10" s="2" t="str">
        <f>IF(ISNA(Table1[[#This Row],[Column2]]),Table1[[#This Row],[comments2]], IF(O10="NA",M10,_xlfn.CONCAT(O10,"--",M10)))</f>
        <v>MT119469 and MT119563 are merged</v>
      </c>
      <c r="O10" s="2" t="s">
        <v>39</v>
      </c>
      <c r="P10" s="2" t="s">
        <v>40</v>
      </c>
      <c r="Q10" s="2" t="s">
        <v>41</v>
      </c>
      <c r="S10" s="2" t="s">
        <v>42</v>
      </c>
      <c r="T10" s="2" t="s">
        <v>43</v>
      </c>
      <c r="U10" s="2" t="s">
        <v>44</v>
      </c>
      <c r="V10" s="2" t="s">
        <v>45</v>
      </c>
      <c r="W10" s="2">
        <v>888</v>
      </c>
      <c r="X10" s="2" t="s">
        <v>46</v>
      </c>
      <c r="Y10" s="2" t="s">
        <v>47</v>
      </c>
      <c r="AA10" s="2" t="s">
        <v>48</v>
      </c>
      <c r="AB10" s="2">
        <v>1</v>
      </c>
      <c r="AC10" s="2" t="s">
        <v>49</v>
      </c>
      <c r="AD10" s="2" t="s">
        <v>50</v>
      </c>
      <c r="AE10" s="4">
        <v>10.216833299999999</v>
      </c>
      <c r="AF10" s="4">
        <v>-10.6887667</v>
      </c>
      <c r="AG10" s="2" t="s">
        <v>51</v>
      </c>
      <c r="AI10" s="2" t="s">
        <v>52</v>
      </c>
      <c r="AJ10" s="2" t="str">
        <f>IF(Table1[[#This Row],[Host]]="Mastomys natalensis", "Mn", IF(Table1[[#This Row],[Host]]="Homo Sapiens","Human","PROBLEMMEMEMMEMEMEMM"))</f>
        <v>Mn</v>
      </c>
      <c r="AK10" s="2" t="s">
        <v>53</v>
      </c>
      <c r="AL10" s="5">
        <v>42318</v>
      </c>
      <c r="AM10" s="6" t="s">
        <v>1039</v>
      </c>
      <c r="AO10" s="2" t="s">
        <v>75</v>
      </c>
    </row>
    <row r="11" spans="1:41" x14ac:dyDescent="0.3">
      <c r="A11" s="2">
        <v>104</v>
      </c>
      <c r="B11" s="2" t="str">
        <f>_xlfn.CONCAT(Table1[[#This Row],[Acession_no_.1]],"|",Table1[[#This Row],[Strain name]],"|",Table1[[#This Row],[host_simple]],"|",Table1[[#This Row],[Country]],"|",Table1[[#This Row],[date_text]])</f>
        <v>MT119563|Bri-145|Mn|Guinea|2015-11-10</v>
      </c>
      <c r="C11" s="2" t="s">
        <v>1238</v>
      </c>
      <c r="D11" s="2" t="str">
        <f>IF(ISNUMBER(MATCH(B11,finalSelection!$A$1:$A$497,0)),"yes","no")</f>
        <v>no</v>
      </c>
      <c r="E11" s="2" t="s">
        <v>776</v>
      </c>
      <c r="F11" s="2" t="s">
        <v>76</v>
      </c>
      <c r="H11" s="2" t="s">
        <v>74</v>
      </c>
      <c r="I11" s="2" t="s">
        <v>56</v>
      </c>
      <c r="J11" s="2" t="s">
        <v>37</v>
      </c>
      <c r="K11" s="2" t="s">
        <v>38</v>
      </c>
      <c r="L11" s="2" t="s">
        <v>37</v>
      </c>
      <c r="M11" s="2" t="str">
        <f>VLOOKUP(C11,seqConcatenated!$A$1:$B$124,2, FALSE)</f>
        <v>MT119469 and MT119563 are merged</v>
      </c>
      <c r="N11" s="2" t="str">
        <f>IF(ISNA(Table1[[#This Row],[Column2]]),Table1[[#This Row],[comments2]], IF(O11="NA",M11,_xlfn.CONCAT(O11,"--",M11)))</f>
        <v>MT119469 and MT119563 are merged</v>
      </c>
      <c r="O11" s="2" t="s">
        <v>39</v>
      </c>
      <c r="P11" s="2" t="s">
        <v>40</v>
      </c>
      <c r="Q11" s="2" t="s">
        <v>41</v>
      </c>
      <c r="S11" s="2" t="s">
        <v>42</v>
      </c>
      <c r="T11" s="2" t="s">
        <v>43</v>
      </c>
      <c r="U11" s="2" t="s">
        <v>44</v>
      </c>
      <c r="V11" s="2" t="s">
        <v>45</v>
      </c>
      <c r="W11" s="2">
        <v>735</v>
      </c>
      <c r="X11" s="2" t="s">
        <v>46</v>
      </c>
      <c r="Y11" s="2" t="s">
        <v>47</v>
      </c>
      <c r="AA11" s="2" t="s">
        <v>48</v>
      </c>
      <c r="AB11" s="2">
        <v>1</v>
      </c>
      <c r="AC11" s="2" t="s">
        <v>49</v>
      </c>
      <c r="AD11" s="2" t="s">
        <v>50</v>
      </c>
      <c r="AE11" s="4">
        <v>10.216833299999999</v>
      </c>
      <c r="AF11" s="4">
        <v>-10.6887667</v>
      </c>
      <c r="AG11" s="2" t="s">
        <v>51</v>
      </c>
      <c r="AI11" s="2" t="s">
        <v>52</v>
      </c>
      <c r="AJ11" s="2" t="str">
        <f>IF(Table1[[#This Row],[Host]]="Mastomys natalensis", "Mn", IF(Table1[[#This Row],[Host]]="Homo Sapiens","Human","PROBLEMMEMEMMEMEMEMM"))</f>
        <v>Mn</v>
      </c>
      <c r="AK11" s="2" t="s">
        <v>53</v>
      </c>
      <c r="AL11" s="5">
        <v>42318</v>
      </c>
      <c r="AM11" s="6" t="s">
        <v>1039</v>
      </c>
      <c r="AO11" s="2" t="s">
        <v>77</v>
      </c>
    </row>
    <row r="12" spans="1:41" x14ac:dyDescent="0.3">
      <c r="A12" s="2">
        <v>11</v>
      </c>
      <c r="B12" s="2" t="str">
        <f>_xlfn.CONCAT(Table1[[#This Row],[Acession_no_.1]],"|",Table1[[#This Row],[Strain name]],"|",Table1[[#This Row],[host_simple]],"|",Table1[[#This Row],[Country]],"|",Table1[[#This Row],[date_text]])</f>
        <v>MT119470|Bri-161|Mn|Guinea|2015-11-11</v>
      </c>
      <c r="C12" s="2" t="s">
        <v>1239</v>
      </c>
      <c r="D12" s="2" t="str">
        <f>IF(ISNUMBER(MATCH(B12,finalSelection!$A$1:$A$497,0)),"yes","no")</f>
        <v>no</v>
      </c>
      <c r="E12" s="2" t="s">
        <v>777</v>
      </c>
      <c r="F12" s="2" t="s">
        <v>78</v>
      </c>
      <c r="H12" s="2" t="s">
        <v>79</v>
      </c>
      <c r="I12" s="2" t="s">
        <v>36</v>
      </c>
      <c r="J12" s="2" t="s">
        <v>37</v>
      </c>
      <c r="K12" s="2" t="s">
        <v>38</v>
      </c>
      <c r="L12" s="2" t="s">
        <v>37</v>
      </c>
      <c r="M12" s="2" t="str">
        <f>VLOOKUP(C12,seqConcatenated!$A$1:$B$124,2, FALSE)</f>
        <v>MT119470 and MT119564 are merged</v>
      </c>
      <c r="N12" s="2" t="str">
        <f>IF(ISNA(Table1[[#This Row],[Column2]]),Table1[[#This Row],[comments2]], IF(O12="NA",M12,_xlfn.CONCAT(O12,"--",M12)))</f>
        <v>MT119470 and MT119564 are merged</v>
      </c>
      <c r="O12" s="2" t="s">
        <v>39</v>
      </c>
      <c r="P12" s="2" t="s">
        <v>40</v>
      </c>
      <c r="Q12" s="2" t="s">
        <v>41</v>
      </c>
      <c r="S12" s="2" t="s">
        <v>42</v>
      </c>
      <c r="T12" s="2" t="s">
        <v>43</v>
      </c>
      <c r="U12" s="2" t="s">
        <v>44</v>
      </c>
      <c r="V12" s="2" t="s">
        <v>45</v>
      </c>
      <c r="W12" s="2">
        <v>888</v>
      </c>
      <c r="X12" s="2" t="s">
        <v>46</v>
      </c>
      <c r="Y12" s="2" t="s">
        <v>47</v>
      </c>
      <c r="AA12" s="2" t="s">
        <v>48</v>
      </c>
      <c r="AB12" s="2">
        <v>1</v>
      </c>
      <c r="AC12" s="2" t="s">
        <v>49</v>
      </c>
      <c r="AD12" s="2" t="s">
        <v>50</v>
      </c>
      <c r="AE12" s="4">
        <v>10.216833299999999</v>
      </c>
      <c r="AF12" s="4">
        <v>-10.6887667</v>
      </c>
      <c r="AG12" s="2" t="s">
        <v>51</v>
      </c>
      <c r="AI12" s="2" t="s">
        <v>52</v>
      </c>
      <c r="AJ12" s="2" t="str">
        <f>IF(Table1[[#This Row],[Host]]="Mastomys natalensis", "Mn", IF(Table1[[#This Row],[Host]]="Homo Sapiens","Human","PROBLEMMEMEMMEMEMEMM"))</f>
        <v>Mn</v>
      </c>
      <c r="AK12" s="2" t="s">
        <v>53</v>
      </c>
      <c r="AL12" s="5">
        <v>42319</v>
      </c>
      <c r="AM12" s="6" t="s">
        <v>1040</v>
      </c>
      <c r="AO12" s="2" t="s">
        <v>80</v>
      </c>
    </row>
    <row r="13" spans="1:41" x14ac:dyDescent="0.3">
      <c r="A13" s="2">
        <v>105</v>
      </c>
      <c r="B13" s="2" t="str">
        <f>_xlfn.CONCAT(Table1[[#This Row],[Acession_no_.1]],"|",Table1[[#This Row],[Strain name]],"|",Table1[[#This Row],[host_simple]],"|",Table1[[#This Row],[Country]],"|",Table1[[#This Row],[date_text]])</f>
        <v>MT119564|Bri-161|Mn|Guinea|2015-11-11</v>
      </c>
      <c r="C13" s="2" t="s">
        <v>1239</v>
      </c>
      <c r="D13" s="2" t="str">
        <f>IF(ISNUMBER(MATCH(B13,finalSelection!$A$1:$A$497,0)),"yes","no")</f>
        <v>no</v>
      </c>
      <c r="E13" s="2" t="s">
        <v>778</v>
      </c>
      <c r="F13" s="2" t="s">
        <v>81</v>
      </c>
      <c r="H13" s="2" t="s">
        <v>79</v>
      </c>
      <c r="I13" s="2" t="s">
        <v>56</v>
      </c>
      <c r="J13" s="2" t="s">
        <v>37</v>
      </c>
      <c r="K13" s="2" t="s">
        <v>38</v>
      </c>
      <c r="L13" s="2" t="s">
        <v>37</v>
      </c>
      <c r="M13" s="2" t="str">
        <f>VLOOKUP(C13,seqConcatenated!$A$1:$B$124,2, FALSE)</f>
        <v>MT119470 and MT119564 are merged</v>
      </c>
      <c r="N13" s="2" t="str">
        <f>IF(ISNA(Table1[[#This Row],[Column2]]),Table1[[#This Row],[comments2]], IF(O13="NA",M13,_xlfn.CONCAT(O13,"--",M13)))</f>
        <v>MT119470 and MT119564 are merged</v>
      </c>
      <c r="O13" s="2" t="s">
        <v>39</v>
      </c>
      <c r="P13" s="2" t="s">
        <v>40</v>
      </c>
      <c r="Q13" s="2" t="s">
        <v>41</v>
      </c>
      <c r="S13" s="2" t="s">
        <v>42</v>
      </c>
      <c r="T13" s="2" t="s">
        <v>43</v>
      </c>
      <c r="U13" s="2" t="s">
        <v>44</v>
      </c>
      <c r="V13" s="2" t="s">
        <v>45</v>
      </c>
      <c r="W13" s="2">
        <v>735</v>
      </c>
      <c r="X13" s="2" t="s">
        <v>46</v>
      </c>
      <c r="Y13" s="2" t="s">
        <v>47</v>
      </c>
      <c r="AA13" s="2" t="s">
        <v>48</v>
      </c>
      <c r="AB13" s="2">
        <v>1</v>
      </c>
      <c r="AC13" s="2" t="s">
        <v>49</v>
      </c>
      <c r="AD13" s="2" t="s">
        <v>50</v>
      </c>
      <c r="AE13" s="4">
        <v>10.216833299999999</v>
      </c>
      <c r="AF13" s="4">
        <v>-10.6887667</v>
      </c>
      <c r="AG13" s="2" t="s">
        <v>51</v>
      </c>
      <c r="AI13" s="2" t="s">
        <v>52</v>
      </c>
      <c r="AJ13" s="2" t="str">
        <f>IF(Table1[[#This Row],[Host]]="Mastomys natalensis", "Mn", IF(Table1[[#This Row],[Host]]="Homo Sapiens","Human","PROBLEMMEMEMMEMEMEMM"))</f>
        <v>Mn</v>
      </c>
      <c r="AK13" s="2" t="s">
        <v>53</v>
      </c>
      <c r="AL13" s="5">
        <v>42319</v>
      </c>
      <c r="AM13" s="6" t="s">
        <v>1040</v>
      </c>
      <c r="AO13" s="2" t="s">
        <v>82</v>
      </c>
    </row>
    <row r="14" spans="1:41" x14ac:dyDescent="0.3">
      <c r="A14" s="2">
        <v>12</v>
      </c>
      <c r="B14" s="2" t="str">
        <f>_xlfn.CONCAT(Table1[[#This Row],[Acession_no_.1]],"|",Table1[[#This Row],[Strain name]],"|",Table1[[#This Row],[host_simple]],"|",Table1[[#This Row],[Country]],"|",Table1[[#This Row],[date_text]])</f>
        <v>MT119471|Bri-174|Mn|Guinea|2015-11-11</v>
      </c>
      <c r="C14" s="2" t="s">
        <v>1240</v>
      </c>
      <c r="D14" s="2" t="str">
        <f>IF(ISNUMBER(MATCH(B14,finalSelection!$A$1:$A$497,0)),"yes","no")</f>
        <v>yes</v>
      </c>
      <c r="E14" s="2" t="s">
        <v>779</v>
      </c>
      <c r="F14" s="2" t="s">
        <v>83</v>
      </c>
      <c r="H14" s="2" t="s">
        <v>84</v>
      </c>
      <c r="I14" s="2" t="s">
        <v>36</v>
      </c>
      <c r="J14" s="2" t="s">
        <v>37</v>
      </c>
      <c r="K14" s="2" t="s">
        <v>38</v>
      </c>
      <c r="L14" s="2" t="s">
        <v>37</v>
      </c>
      <c r="M14" s="2" t="str">
        <f>VLOOKUP(C14,seqConcatenated!$A$1:$B$124,2, FALSE)</f>
        <v>MT119471 and MT119565 are merged</v>
      </c>
      <c r="N14" s="2" t="str">
        <f>IF(ISNA(Table1[[#This Row],[Column2]]),Table1[[#This Row],[comments2]], IF(O14="NA",M14,_xlfn.CONCAT(O14,"--",M14)))</f>
        <v>MT119471 and MT119565 are merged</v>
      </c>
      <c r="O14" s="2" t="s">
        <v>39</v>
      </c>
      <c r="P14" s="2" t="s">
        <v>40</v>
      </c>
      <c r="Q14" s="2" t="s">
        <v>41</v>
      </c>
      <c r="S14" s="2" t="s">
        <v>42</v>
      </c>
      <c r="T14" s="2" t="s">
        <v>43</v>
      </c>
      <c r="U14" s="2" t="s">
        <v>44</v>
      </c>
      <c r="V14" s="2" t="s">
        <v>45</v>
      </c>
      <c r="W14" s="2">
        <v>888</v>
      </c>
      <c r="X14" s="2" t="s">
        <v>46</v>
      </c>
      <c r="Y14" s="2" t="s">
        <v>47</v>
      </c>
      <c r="AA14" s="2" t="s">
        <v>48</v>
      </c>
      <c r="AB14" s="2">
        <v>1</v>
      </c>
      <c r="AC14" s="2" t="s">
        <v>49</v>
      </c>
      <c r="AD14" s="2" t="s">
        <v>50</v>
      </c>
      <c r="AE14" s="4">
        <v>10.216833299999999</v>
      </c>
      <c r="AF14" s="4">
        <v>-10.6887667</v>
      </c>
      <c r="AG14" s="2" t="s">
        <v>51</v>
      </c>
      <c r="AI14" s="2" t="s">
        <v>52</v>
      </c>
      <c r="AJ14" s="2" t="str">
        <f>IF(Table1[[#This Row],[Host]]="Mastomys natalensis", "Mn", IF(Table1[[#This Row],[Host]]="Homo Sapiens","Human","PROBLEMMEMEMMEMEMEMM"))</f>
        <v>Mn</v>
      </c>
      <c r="AK14" s="2" t="s">
        <v>53</v>
      </c>
      <c r="AL14" s="5">
        <v>42319</v>
      </c>
      <c r="AM14" s="6" t="s">
        <v>1040</v>
      </c>
      <c r="AO14" s="2" t="s">
        <v>85</v>
      </c>
    </row>
    <row r="15" spans="1:41" x14ac:dyDescent="0.3">
      <c r="A15" s="2">
        <v>106</v>
      </c>
      <c r="B15" s="2" t="str">
        <f>_xlfn.CONCAT(Table1[[#This Row],[Acession_no_.1]],"|",Table1[[#This Row],[Strain name]],"|",Table1[[#This Row],[host_simple]],"|",Table1[[#This Row],[Country]],"|",Table1[[#This Row],[date_text]])</f>
        <v>MT119565|Bri-174|Mn|Guinea|2015-11-11</v>
      </c>
      <c r="C15" s="2" t="s">
        <v>1240</v>
      </c>
      <c r="D15" s="2" t="str">
        <f>IF(ISNUMBER(MATCH(B15,finalSelection!$A$1:$A$497,0)),"yes","no")</f>
        <v>no</v>
      </c>
      <c r="E15" s="2" t="s">
        <v>780</v>
      </c>
      <c r="F15" s="2" t="s">
        <v>86</v>
      </c>
      <c r="H15" s="2" t="s">
        <v>84</v>
      </c>
      <c r="I15" s="2" t="s">
        <v>56</v>
      </c>
      <c r="J15" s="2" t="s">
        <v>37</v>
      </c>
      <c r="K15" s="2" t="s">
        <v>38</v>
      </c>
      <c r="L15" s="2" t="s">
        <v>37</v>
      </c>
      <c r="M15" s="2" t="str">
        <f>VLOOKUP(C15,seqConcatenated!$A$1:$B$124,2, FALSE)</f>
        <v>MT119471 and MT119565 are merged</v>
      </c>
      <c r="N15" s="2" t="str">
        <f>IF(ISNA(Table1[[#This Row],[Column2]]),Table1[[#This Row],[comments2]], IF(O15="NA",M15,_xlfn.CONCAT(O15,"--",M15)))</f>
        <v>MT119471 and MT119565 are merged</v>
      </c>
      <c r="O15" s="2" t="s">
        <v>39</v>
      </c>
      <c r="P15" s="2" t="s">
        <v>40</v>
      </c>
      <c r="Q15" s="2" t="s">
        <v>41</v>
      </c>
      <c r="S15" s="2" t="s">
        <v>42</v>
      </c>
      <c r="T15" s="2" t="s">
        <v>43</v>
      </c>
      <c r="U15" s="2" t="s">
        <v>44</v>
      </c>
      <c r="V15" s="2" t="s">
        <v>45</v>
      </c>
      <c r="W15" s="2">
        <v>735</v>
      </c>
      <c r="X15" s="2" t="s">
        <v>46</v>
      </c>
      <c r="Y15" s="2" t="s">
        <v>47</v>
      </c>
      <c r="AA15" s="2" t="s">
        <v>48</v>
      </c>
      <c r="AB15" s="2">
        <v>1</v>
      </c>
      <c r="AC15" s="2" t="s">
        <v>49</v>
      </c>
      <c r="AD15" s="2" t="s">
        <v>50</v>
      </c>
      <c r="AE15" s="4">
        <v>10.216833299999999</v>
      </c>
      <c r="AF15" s="4">
        <v>-10.6887667</v>
      </c>
      <c r="AG15" s="2" t="s">
        <v>51</v>
      </c>
      <c r="AI15" s="2" t="s">
        <v>52</v>
      </c>
      <c r="AJ15" s="2" t="str">
        <f>IF(Table1[[#This Row],[Host]]="Mastomys natalensis", "Mn", IF(Table1[[#This Row],[Host]]="Homo Sapiens","Human","PROBLEMMEMEMMEMEMEMM"))</f>
        <v>Mn</v>
      </c>
      <c r="AK15" s="2" t="s">
        <v>53</v>
      </c>
      <c r="AL15" s="5">
        <v>42319</v>
      </c>
      <c r="AM15" s="6" t="s">
        <v>1040</v>
      </c>
      <c r="AO15" s="2" t="s">
        <v>87</v>
      </c>
    </row>
    <row r="16" spans="1:41" x14ac:dyDescent="0.3">
      <c r="A16" s="2">
        <v>13</v>
      </c>
      <c r="B16" s="2" t="str">
        <f>_xlfn.CONCAT(Table1[[#This Row],[Acession_no_.1]],"|",Table1[[#This Row],[Strain name]],"|",Table1[[#This Row],[host_simple]],"|",Table1[[#This Row],[Country]],"|",Table1[[#This Row],[date_text]])</f>
        <v>MT119472|Bri-194|Mn|Guinea|2016-11-12</v>
      </c>
      <c r="C16" s="2" t="s">
        <v>1241</v>
      </c>
      <c r="D16" s="2" t="str">
        <f>IF(ISNUMBER(MATCH(B16,finalSelection!$A$1:$A$497,0)),"yes","no")</f>
        <v>yes</v>
      </c>
      <c r="E16" s="2" t="s">
        <v>781</v>
      </c>
      <c r="F16" s="2" t="s">
        <v>88</v>
      </c>
      <c r="H16" s="2" t="s">
        <v>89</v>
      </c>
      <c r="I16" s="2" t="s">
        <v>36</v>
      </c>
      <c r="J16" s="2" t="s">
        <v>37</v>
      </c>
      <c r="K16" s="2" t="s">
        <v>38</v>
      </c>
      <c r="L16" s="2" t="s">
        <v>37</v>
      </c>
      <c r="M16" s="2" t="str">
        <f>VLOOKUP(C16,seqConcatenated!$A$1:$B$124,2, FALSE)</f>
        <v>MT119472 and MT119566 are merged</v>
      </c>
      <c r="N16" s="2" t="str">
        <f>IF(ISNA(Table1[[#This Row],[Column2]]),Table1[[#This Row],[comments2]], IF(O16="NA",M16,_xlfn.CONCAT(O16,"--",M16)))</f>
        <v>MT119472 and MT119566 are merged</v>
      </c>
      <c r="O16" s="2" t="s">
        <v>39</v>
      </c>
      <c r="P16" s="2" t="s">
        <v>40</v>
      </c>
      <c r="Q16" s="2" t="s">
        <v>41</v>
      </c>
      <c r="S16" s="2" t="s">
        <v>42</v>
      </c>
      <c r="T16" s="2" t="s">
        <v>43</v>
      </c>
      <c r="U16" s="2" t="s">
        <v>44</v>
      </c>
      <c r="V16" s="2" t="s">
        <v>45</v>
      </c>
      <c r="W16" s="2">
        <v>888</v>
      </c>
      <c r="X16" s="2" t="s">
        <v>46</v>
      </c>
      <c r="Y16" s="2" t="s">
        <v>47</v>
      </c>
      <c r="AA16" s="2" t="s">
        <v>48</v>
      </c>
      <c r="AB16" s="2">
        <v>1</v>
      </c>
      <c r="AC16" s="2" t="s">
        <v>49</v>
      </c>
      <c r="AD16" s="2" t="s">
        <v>50</v>
      </c>
      <c r="AE16" s="4">
        <v>10.216833299999999</v>
      </c>
      <c r="AF16" s="4">
        <v>-10.6887667</v>
      </c>
      <c r="AG16" s="2" t="s">
        <v>51</v>
      </c>
      <c r="AI16" s="2" t="s">
        <v>52</v>
      </c>
      <c r="AJ16" s="2" t="str">
        <f>IF(Table1[[#This Row],[Host]]="Mastomys natalensis", "Mn", IF(Table1[[#This Row],[Host]]="Homo Sapiens","Human","PROBLEMMEMEMMEMEMEMM"))</f>
        <v>Mn</v>
      </c>
      <c r="AK16" s="2" t="s">
        <v>53</v>
      </c>
      <c r="AL16" s="5">
        <v>42686</v>
      </c>
      <c r="AM16" s="6" t="s">
        <v>1041</v>
      </c>
      <c r="AO16" s="2" t="s">
        <v>90</v>
      </c>
    </row>
    <row r="17" spans="1:41" x14ac:dyDescent="0.3">
      <c r="A17" s="2">
        <v>107</v>
      </c>
      <c r="B17" s="2" t="str">
        <f>_xlfn.CONCAT(Table1[[#This Row],[Acession_no_.1]],"|",Table1[[#This Row],[Strain name]],"|",Table1[[#This Row],[host_simple]],"|",Table1[[#This Row],[Country]],"|",Table1[[#This Row],[date_text]])</f>
        <v>MT119566|Bri-194|Mn|Guinea|2016-11-12</v>
      </c>
      <c r="C17" s="2" t="s">
        <v>1241</v>
      </c>
      <c r="D17" s="2" t="str">
        <f>IF(ISNUMBER(MATCH(B17,finalSelection!$A$1:$A$497,0)),"yes","no")</f>
        <v>no</v>
      </c>
      <c r="E17" s="2" t="s">
        <v>782</v>
      </c>
      <c r="F17" s="2" t="s">
        <v>91</v>
      </c>
      <c r="H17" s="2" t="s">
        <v>89</v>
      </c>
      <c r="I17" s="2" t="s">
        <v>56</v>
      </c>
      <c r="J17" s="2" t="s">
        <v>37</v>
      </c>
      <c r="K17" s="2" t="s">
        <v>38</v>
      </c>
      <c r="L17" s="2" t="s">
        <v>37</v>
      </c>
      <c r="M17" s="2" t="str">
        <f>VLOOKUP(C17,seqConcatenated!$A$1:$B$124,2, FALSE)</f>
        <v>MT119472 and MT119566 are merged</v>
      </c>
      <c r="N17" s="2" t="str">
        <f>IF(ISNA(Table1[[#This Row],[Column2]]),Table1[[#This Row],[comments2]], IF(O17="NA",M17,_xlfn.CONCAT(O17,"--",M17)))</f>
        <v>MT119472 and MT119566 are merged</v>
      </c>
      <c r="O17" s="2" t="s">
        <v>39</v>
      </c>
      <c r="P17" s="2" t="s">
        <v>40</v>
      </c>
      <c r="Q17" s="2" t="s">
        <v>41</v>
      </c>
      <c r="S17" s="2" t="s">
        <v>42</v>
      </c>
      <c r="T17" s="2" t="s">
        <v>43</v>
      </c>
      <c r="U17" s="2" t="s">
        <v>44</v>
      </c>
      <c r="V17" s="2" t="s">
        <v>45</v>
      </c>
      <c r="W17" s="2">
        <v>735</v>
      </c>
      <c r="X17" s="2" t="s">
        <v>46</v>
      </c>
      <c r="Y17" s="2" t="s">
        <v>47</v>
      </c>
      <c r="AA17" s="2" t="s">
        <v>48</v>
      </c>
      <c r="AB17" s="2">
        <v>1</v>
      </c>
      <c r="AC17" s="2" t="s">
        <v>49</v>
      </c>
      <c r="AD17" s="2" t="s">
        <v>50</v>
      </c>
      <c r="AE17" s="4">
        <v>10.216833299999999</v>
      </c>
      <c r="AF17" s="4">
        <v>-10.6887667</v>
      </c>
      <c r="AG17" s="2" t="s">
        <v>51</v>
      </c>
      <c r="AI17" s="2" t="s">
        <v>52</v>
      </c>
      <c r="AJ17" s="2" t="str">
        <f>IF(Table1[[#This Row],[Host]]="Mastomys natalensis", "Mn", IF(Table1[[#This Row],[Host]]="Homo Sapiens","Human","PROBLEMMEMEMMEMEMEMM"))</f>
        <v>Mn</v>
      </c>
      <c r="AK17" s="2" t="s">
        <v>53</v>
      </c>
      <c r="AL17" s="5">
        <v>42686</v>
      </c>
      <c r="AM17" s="6" t="s">
        <v>1041</v>
      </c>
      <c r="AO17" s="2" t="s">
        <v>92</v>
      </c>
    </row>
    <row r="18" spans="1:41" x14ac:dyDescent="0.3">
      <c r="A18" s="2">
        <v>14</v>
      </c>
      <c r="B18" s="2" t="str">
        <f>_xlfn.CONCAT(Table1[[#This Row],[Acession_no_.1]],"|",Table1[[#This Row],[Strain name]],"|",Table1[[#This Row],[host_simple]],"|",Table1[[#This Row],[Country]],"|",Table1[[#This Row],[date_text]])</f>
        <v>MT119473|Bri-195|Mn|Guinea|2016-11-12</v>
      </c>
      <c r="C18" s="2" t="s">
        <v>1242</v>
      </c>
      <c r="D18" s="2" t="str">
        <f>IF(ISNUMBER(MATCH(B18,finalSelection!$A$1:$A$497,0)),"yes","no")</f>
        <v>yes</v>
      </c>
      <c r="E18" s="2" t="s">
        <v>783</v>
      </c>
      <c r="F18" s="2" t="s">
        <v>93</v>
      </c>
      <c r="H18" s="2" t="s">
        <v>94</v>
      </c>
      <c r="I18" s="2" t="s">
        <v>36</v>
      </c>
      <c r="J18" s="2" t="s">
        <v>37</v>
      </c>
      <c r="K18" s="2" t="s">
        <v>38</v>
      </c>
      <c r="L18" s="2" t="s">
        <v>37</v>
      </c>
      <c r="M18" s="2" t="str">
        <f>VLOOKUP(C18,seqConcatenated!$A$1:$B$124,2, FALSE)</f>
        <v>MT119473 and MT119567 are merged</v>
      </c>
      <c r="N18" s="2" t="str">
        <f>IF(ISNA(Table1[[#This Row],[Column2]]),Table1[[#This Row],[comments2]], IF(O18="NA",M18,_xlfn.CONCAT(O18,"--",M18)))</f>
        <v>MT119473 and MT119567 are merged</v>
      </c>
      <c r="O18" s="2" t="s">
        <v>39</v>
      </c>
      <c r="P18" s="2" t="s">
        <v>40</v>
      </c>
      <c r="Q18" s="2" t="s">
        <v>41</v>
      </c>
      <c r="S18" s="2" t="s">
        <v>42</v>
      </c>
      <c r="T18" s="2" t="s">
        <v>43</v>
      </c>
      <c r="U18" s="2" t="s">
        <v>44</v>
      </c>
      <c r="V18" s="2" t="s">
        <v>45</v>
      </c>
      <c r="W18" s="2">
        <v>888</v>
      </c>
      <c r="X18" s="2" t="s">
        <v>46</v>
      </c>
      <c r="Y18" s="2" t="s">
        <v>47</v>
      </c>
      <c r="AA18" s="2" t="s">
        <v>48</v>
      </c>
      <c r="AB18" s="2">
        <v>1</v>
      </c>
      <c r="AC18" s="2" t="s">
        <v>49</v>
      </c>
      <c r="AD18" s="2" t="s">
        <v>50</v>
      </c>
      <c r="AE18" s="4">
        <v>10.216833299999999</v>
      </c>
      <c r="AF18" s="4">
        <v>-10.6887667</v>
      </c>
      <c r="AG18" s="2" t="s">
        <v>51</v>
      </c>
      <c r="AI18" s="2" t="s">
        <v>52</v>
      </c>
      <c r="AJ18" s="2" t="str">
        <f>IF(Table1[[#This Row],[Host]]="Mastomys natalensis", "Mn", IF(Table1[[#This Row],[Host]]="Homo Sapiens","Human","PROBLEMMEMEMMEMEMEMM"))</f>
        <v>Mn</v>
      </c>
      <c r="AK18" s="2" t="s">
        <v>53</v>
      </c>
      <c r="AL18" s="5">
        <v>42686</v>
      </c>
      <c r="AM18" s="6" t="s">
        <v>1041</v>
      </c>
      <c r="AO18" s="2" t="s">
        <v>95</v>
      </c>
    </row>
    <row r="19" spans="1:41" x14ac:dyDescent="0.3">
      <c r="A19" s="2">
        <v>108</v>
      </c>
      <c r="B19" s="2" t="str">
        <f>_xlfn.CONCAT(Table1[[#This Row],[Acession_no_.1]],"|",Table1[[#This Row],[Strain name]],"|",Table1[[#This Row],[host_simple]],"|",Table1[[#This Row],[Country]],"|",Table1[[#This Row],[date_text]])</f>
        <v>MT119567|Bri-195|Mn|Guinea|2016-11-12</v>
      </c>
      <c r="C19" s="2" t="s">
        <v>1242</v>
      </c>
      <c r="D19" s="2" t="str">
        <f>IF(ISNUMBER(MATCH(B19,finalSelection!$A$1:$A$497,0)),"yes","no")</f>
        <v>no</v>
      </c>
      <c r="E19" s="2" t="s">
        <v>784</v>
      </c>
      <c r="F19" s="2" t="s">
        <v>96</v>
      </c>
      <c r="H19" s="2" t="s">
        <v>94</v>
      </c>
      <c r="I19" s="2" t="s">
        <v>56</v>
      </c>
      <c r="J19" s="2" t="s">
        <v>37</v>
      </c>
      <c r="K19" s="2" t="s">
        <v>38</v>
      </c>
      <c r="L19" s="2" t="s">
        <v>37</v>
      </c>
      <c r="M19" s="2" t="str">
        <f>VLOOKUP(C19,seqConcatenated!$A$1:$B$124,2, FALSE)</f>
        <v>MT119473 and MT119567 are merged</v>
      </c>
      <c r="N19" s="2" t="str">
        <f>IF(ISNA(Table1[[#This Row],[Column2]]),Table1[[#This Row],[comments2]], IF(O19="NA",M19,_xlfn.CONCAT(O19,"--",M19)))</f>
        <v>MT119473 and MT119567 are merged</v>
      </c>
      <c r="O19" s="2" t="s">
        <v>39</v>
      </c>
      <c r="P19" s="2" t="s">
        <v>40</v>
      </c>
      <c r="Q19" s="2" t="s">
        <v>41</v>
      </c>
      <c r="S19" s="2" t="s">
        <v>42</v>
      </c>
      <c r="T19" s="2" t="s">
        <v>43</v>
      </c>
      <c r="U19" s="2" t="s">
        <v>44</v>
      </c>
      <c r="V19" s="2" t="s">
        <v>45</v>
      </c>
      <c r="W19" s="2">
        <v>735</v>
      </c>
      <c r="X19" s="2" t="s">
        <v>46</v>
      </c>
      <c r="Y19" s="2" t="s">
        <v>47</v>
      </c>
      <c r="AA19" s="2" t="s">
        <v>48</v>
      </c>
      <c r="AB19" s="2">
        <v>1</v>
      </c>
      <c r="AC19" s="2" t="s">
        <v>49</v>
      </c>
      <c r="AD19" s="2" t="s">
        <v>50</v>
      </c>
      <c r="AE19" s="4">
        <v>10.216833299999999</v>
      </c>
      <c r="AF19" s="4">
        <v>-10.6887667</v>
      </c>
      <c r="AG19" s="2" t="s">
        <v>51</v>
      </c>
      <c r="AI19" s="2" t="s">
        <v>52</v>
      </c>
      <c r="AJ19" s="2" t="str">
        <f>IF(Table1[[#This Row],[Host]]="Mastomys natalensis", "Mn", IF(Table1[[#This Row],[Host]]="Homo Sapiens","Human","PROBLEMMEMEMMEMEMEMM"))</f>
        <v>Mn</v>
      </c>
      <c r="AK19" s="2" t="s">
        <v>53</v>
      </c>
      <c r="AL19" s="5">
        <v>42686</v>
      </c>
      <c r="AM19" s="6" t="s">
        <v>1041</v>
      </c>
      <c r="AO19" s="2" t="s">
        <v>97</v>
      </c>
    </row>
    <row r="20" spans="1:41" x14ac:dyDescent="0.3">
      <c r="A20" s="2">
        <v>15</v>
      </c>
      <c r="B20" s="2" t="str">
        <f>_xlfn.CONCAT(Table1[[#This Row],[Acession_no_.1]],"|",Table1[[#This Row],[Strain name]],"|",Table1[[#This Row],[host_simple]],"|",Table1[[#This Row],[Country]],"|",Table1[[#This Row],[date_text]])</f>
        <v>MT119474|Bri-201|Mn|Guinea|2016-11-12</v>
      </c>
      <c r="C20" s="2" t="s">
        <v>1243</v>
      </c>
      <c r="D20" s="2" t="str">
        <f>IF(ISNUMBER(MATCH(B20,finalSelection!$A$1:$A$497,0)),"yes","no")</f>
        <v>yes</v>
      </c>
      <c r="E20" s="2" t="s">
        <v>785</v>
      </c>
      <c r="F20" s="2" t="s">
        <v>98</v>
      </c>
      <c r="H20" s="2" t="s">
        <v>99</v>
      </c>
      <c r="I20" s="2" t="s">
        <v>36</v>
      </c>
      <c r="J20" s="2" t="s">
        <v>37</v>
      </c>
      <c r="K20" s="2" t="s">
        <v>38</v>
      </c>
      <c r="L20" s="2" t="s">
        <v>37</v>
      </c>
      <c r="M20" s="2" t="str">
        <f>VLOOKUP(C20,seqConcatenated!$A$1:$B$124,2, FALSE)</f>
        <v>MT119474 and MT119568 are merged</v>
      </c>
      <c r="N20" s="2" t="str">
        <f>IF(ISNA(Table1[[#This Row],[Column2]]),Table1[[#This Row],[comments2]], IF(O20="NA",M20,_xlfn.CONCAT(O20,"--",M20)))</f>
        <v>MT119474 and MT119568 are merged</v>
      </c>
      <c r="O20" s="2" t="s">
        <v>39</v>
      </c>
      <c r="P20" s="2" t="s">
        <v>40</v>
      </c>
      <c r="Q20" s="2" t="s">
        <v>41</v>
      </c>
      <c r="S20" s="2" t="s">
        <v>42</v>
      </c>
      <c r="T20" s="2" t="s">
        <v>43</v>
      </c>
      <c r="U20" s="2" t="s">
        <v>44</v>
      </c>
      <c r="V20" s="2" t="s">
        <v>45</v>
      </c>
      <c r="W20" s="2">
        <v>888</v>
      </c>
      <c r="X20" s="2" t="s">
        <v>46</v>
      </c>
      <c r="Y20" s="2" t="s">
        <v>47</v>
      </c>
      <c r="AA20" s="2" t="s">
        <v>48</v>
      </c>
      <c r="AB20" s="2">
        <v>1</v>
      </c>
      <c r="AC20" s="2" t="s">
        <v>49</v>
      </c>
      <c r="AD20" s="2" t="s">
        <v>50</v>
      </c>
      <c r="AE20" s="4">
        <v>10.216833299999999</v>
      </c>
      <c r="AF20" s="4">
        <v>-10.6887667</v>
      </c>
      <c r="AG20" s="2" t="s">
        <v>51</v>
      </c>
      <c r="AI20" s="2" t="s">
        <v>52</v>
      </c>
      <c r="AJ20" s="2" t="str">
        <f>IF(Table1[[#This Row],[Host]]="Mastomys natalensis", "Mn", IF(Table1[[#This Row],[Host]]="Homo Sapiens","Human","PROBLEMMEMEMMEMEMEMM"))</f>
        <v>Mn</v>
      </c>
      <c r="AK20" s="2" t="s">
        <v>53</v>
      </c>
      <c r="AL20" s="5">
        <v>42686</v>
      </c>
      <c r="AM20" s="6" t="s">
        <v>1041</v>
      </c>
      <c r="AO20" s="2" t="s">
        <v>100</v>
      </c>
    </row>
    <row r="21" spans="1:41" x14ac:dyDescent="0.3">
      <c r="A21" s="2">
        <v>109</v>
      </c>
      <c r="B21" s="2" t="str">
        <f>_xlfn.CONCAT(Table1[[#This Row],[Acession_no_.1]],"|",Table1[[#This Row],[Strain name]],"|",Table1[[#This Row],[host_simple]],"|",Table1[[#This Row],[Country]],"|",Table1[[#This Row],[date_text]])</f>
        <v>MT119568|Bri-201|Mn|Guinea|2016-11-12</v>
      </c>
      <c r="C21" s="2" t="s">
        <v>1243</v>
      </c>
      <c r="D21" s="2" t="str">
        <f>IF(ISNUMBER(MATCH(B21,finalSelection!$A$1:$A$497,0)),"yes","no")</f>
        <v>no</v>
      </c>
      <c r="E21" s="2" t="s">
        <v>786</v>
      </c>
      <c r="F21" s="2" t="s">
        <v>101</v>
      </c>
      <c r="H21" s="2" t="s">
        <v>99</v>
      </c>
      <c r="I21" s="2" t="s">
        <v>56</v>
      </c>
      <c r="J21" s="2" t="s">
        <v>37</v>
      </c>
      <c r="K21" s="2" t="s">
        <v>38</v>
      </c>
      <c r="L21" s="2" t="s">
        <v>37</v>
      </c>
      <c r="M21" s="2" t="str">
        <f>VLOOKUP(C21,seqConcatenated!$A$1:$B$124,2, FALSE)</f>
        <v>MT119474 and MT119568 are merged</v>
      </c>
      <c r="N21" s="2" t="str">
        <f>IF(ISNA(Table1[[#This Row],[Column2]]),Table1[[#This Row],[comments2]], IF(O21="NA",M21,_xlfn.CONCAT(O21,"--",M21)))</f>
        <v>MT119474 and MT119568 are merged</v>
      </c>
      <c r="O21" s="2" t="s">
        <v>39</v>
      </c>
      <c r="P21" s="2" t="s">
        <v>40</v>
      </c>
      <c r="Q21" s="2" t="s">
        <v>41</v>
      </c>
      <c r="S21" s="2" t="s">
        <v>42</v>
      </c>
      <c r="T21" s="2" t="s">
        <v>43</v>
      </c>
      <c r="U21" s="2" t="s">
        <v>44</v>
      </c>
      <c r="V21" s="2" t="s">
        <v>45</v>
      </c>
      <c r="W21" s="2">
        <v>735</v>
      </c>
      <c r="X21" s="2" t="s">
        <v>46</v>
      </c>
      <c r="Y21" s="2" t="s">
        <v>47</v>
      </c>
      <c r="AA21" s="2" t="s">
        <v>48</v>
      </c>
      <c r="AB21" s="2">
        <v>1</v>
      </c>
      <c r="AC21" s="2" t="s">
        <v>49</v>
      </c>
      <c r="AD21" s="2" t="s">
        <v>50</v>
      </c>
      <c r="AE21" s="4">
        <v>10.216833299999999</v>
      </c>
      <c r="AF21" s="4">
        <v>-10.6887667</v>
      </c>
      <c r="AG21" s="2" t="s">
        <v>51</v>
      </c>
      <c r="AI21" s="2" t="s">
        <v>52</v>
      </c>
      <c r="AJ21" s="2" t="str">
        <f>IF(Table1[[#This Row],[Host]]="Mastomys natalensis", "Mn", IF(Table1[[#This Row],[Host]]="Homo Sapiens","Human","PROBLEMMEMEMMEMEMEMM"))</f>
        <v>Mn</v>
      </c>
      <c r="AK21" s="2" t="s">
        <v>53</v>
      </c>
      <c r="AL21" s="5">
        <v>42686</v>
      </c>
      <c r="AM21" s="6" t="s">
        <v>1041</v>
      </c>
      <c r="AO21" s="2" t="s">
        <v>102</v>
      </c>
    </row>
    <row r="22" spans="1:41" x14ac:dyDescent="0.3">
      <c r="A22" s="2">
        <v>16</v>
      </c>
      <c r="B22" s="2" t="str">
        <f>_xlfn.CONCAT(Table1[[#This Row],[Acession_no_.1]],"|",Table1[[#This Row],[Strain name]],"|",Table1[[#This Row],[host_simple]],"|",Table1[[#This Row],[Country]],"|",Table1[[#This Row],[date_text]])</f>
        <v>MT119475|Bri-210|Mn|Guinea|2016-11-12</v>
      </c>
      <c r="C22" s="2" t="s">
        <v>1244</v>
      </c>
      <c r="D22" s="2" t="str">
        <f>IF(ISNUMBER(MATCH(B22,finalSelection!$A$1:$A$497,0)),"yes","no")</f>
        <v>yes</v>
      </c>
      <c r="E22" s="2" t="s">
        <v>787</v>
      </c>
      <c r="F22" s="2" t="s">
        <v>103</v>
      </c>
      <c r="H22" s="2" t="s">
        <v>104</v>
      </c>
      <c r="I22" s="2" t="s">
        <v>36</v>
      </c>
      <c r="J22" s="2" t="s">
        <v>37</v>
      </c>
      <c r="K22" s="2" t="s">
        <v>38</v>
      </c>
      <c r="L22" s="2" t="s">
        <v>37</v>
      </c>
      <c r="M22" s="2" t="str">
        <f>VLOOKUP(C22,seqConcatenated!$A$1:$B$124,2, FALSE)</f>
        <v>MT119475 and MT119569 are merged</v>
      </c>
      <c r="N22" s="2" t="str">
        <f>IF(ISNA(Table1[[#This Row],[Column2]]),Table1[[#This Row],[comments2]], IF(O22="NA",M22,_xlfn.CONCAT(O22,"--",M22)))</f>
        <v>MT119475 and MT119569 are merged</v>
      </c>
      <c r="O22" s="2" t="s">
        <v>39</v>
      </c>
      <c r="P22" s="2" t="s">
        <v>40</v>
      </c>
      <c r="Q22" s="2" t="s">
        <v>41</v>
      </c>
      <c r="S22" s="2" t="s">
        <v>42</v>
      </c>
      <c r="T22" s="2" t="s">
        <v>43</v>
      </c>
      <c r="U22" s="2" t="s">
        <v>44</v>
      </c>
      <c r="V22" s="2" t="s">
        <v>45</v>
      </c>
      <c r="W22" s="2">
        <v>888</v>
      </c>
      <c r="X22" s="2" t="s">
        <v>46</v>
      </c>
      <c r="Y22" s="2" t="s">
        <v>47</v>
      </c>
      <c r="AA22" s="2" t="s">
        <v>48</v>
      </c>
      <c r="AB22" s="2">
        <v>1</v>
      </c>
      <c r="AC22" s="2" t="s">
        <v>49</v>
      </c>
      <c r="AD22" s="2" t="s">
        <v>50</v>
      </c>
      <c r="AE22" s="4">
        <v>10.216833299999999</v>
      </c>
      <c r="AF22" s="4">
        <v>-10.6887667</v>
      </c>
      <c r="AG22" s="2" t="s">
        <v>51</v>
      </c>
      <c r="AI22" s="2" t="s">
        <v>52</v>
      </c>
      <c r="AJ22" s="2" t="str">
        <f>IF(Table1[[#This Row],[Host]]="Mastomys natalensis", "Mn", IF(Table1[[#This Row],[Host]]="Homo Sapiens","Human","PROBLEMMEMEMMEMEMEMM"))</f>
        <v>Mn</v>
      </c>
      <c r="AK22" s="2" t="s">
        <v>53</v>
      </c>
      <c r="AL22" s="5">
        <v>42686</v>
      </c>
      <c r="AM22" s="6" t="s">
        <v>1041</v>
      </c>
      <c r="AO22" s="2" t="s">
        <v>105</v>
      </c>
    </row>
    <row r="23" spans="1:41" x14ac:dyDescent="0.3">
      <c r="A23" s="2">
        <v>110</v>
      </c>
      <c r="B23" s="2" t="str">
        <f>_xlfn.CONCAT(Table1[[#This Row],[Acession_no_.1]],"|",Table1[[#This Row],[Strain name]],"|",Table1[[#This Row],[host_simple]],"|",Table1[[#This Row],[Country]],"|",Table1[[#This Row],[date_text]])</f>
        <v>MT119569|Bri-210|Mn|Guinea|2016-11-12</v>
      </c>
      <c r="C23" s="2" t="s">
        <v>1244</v>
      </c>
      <c r="D23" s="2" t="str">
        <f>IF(ISNUMBER(MATCH(B23,finalSelection!$A$1:$A$497,0)),"yes","no")</f>
        <v>no</v>
      </c>
      <c r="E23" s="2" t="s">
        <v>788</v>
      </c>
      <c r="F23" s="2" t="s">
        <v>106</v>
      </c>
      <c r="H23" s="2" t="s">
        <v>104</v>
      </c>
      <c r="I23" s="2" t="s">
        <v>56</v>
      </c>
      <c r="J23" s="2" t="s">
        <v>37</v>
      </c>
      <c r="K23" s="2" t="s">
        <v>38</v>
      </c>
      <c r="L23" s="2" t="s">
        <v>37</v>
      </c>
      <c r="M23" s="2" t="str">
        <f>VLOOKUP(C23,seqConcatenated!$A$1:$B$124,2, FALSE)</f>
        <v>MT119475 and MT119569 are merged</v>
      </c>
      <c r="N23" s="2" t="str">
        <f>IF(ISNA(Table1[[#This Row],[Column2]]),Table1[[#This Row],[comments2]], IF(O23="NA",M23,_xlfn.CONCAT(O23,"--",M23)))</f>
        <v>MT119475 and MT119569 are merged</v>
      </c>
      <c r="O23" s="2" t="s">
        <v>39</v>
      </c>
      <c r="P23" s="2" t="s">
        <v>40</v>
      </c>
      <c r="Q23" s="2" t="s">
        <v>41</v>
      </c>
      <c r="S23" s="2" t="s">
        <v>42</v>
      </c>
      <c r="T23" s="2" t="s">
        <v>43</v>
      </c>
      <c r="U23" s="2" t="s">
        <v>44</v>
      </c>
      <c r="V23" s="2" t="s">
        <v>45</v>
      </c>
      <c r="W23" s="2">
        <v>735</v>
      </c>
      <c r="X23" s="2" t="s">
        <v>46</v>
      </c>
      <c r="Y23" s="2" t="s">
        <v>47</v>
      </c>
      <c r="AA23" s="2" t="s">
        <v>48</v>
      </c>
      <c r="AB23" s="2">
        <v>1</v>
      </c>
      <c r="AC23" s="2" t="s">
        <v>49</v>
      </c>
      <c r="AD23" s="2" t="s">
        <v>50</v>
      </c>
      <c r="AE23" s="4">
        <v>10.216833299999999</v>
      </c>
      <c r="AF23" s="4">
        <v>-10.6887667</v>
      </c>
      <c r="AG23" s="2" t="s">
        <v>51</v>
      </c>
      <c r="AI23" s="2" t="s">
        <v>52</v>
      </c>
      <c r="AJ23" s="2" t="str">
        <f>IF(Table1[[#This Row],[Host]]="Mastomys natalensis", "Mn", IF(Table1[[#This Row],[Host]]="Homo Sapiens","Human","PROBLEMMEMEMMEMEMEMM"))</f>
        <v>Mn</v>
      </c>
      <c r="AK23" s="2" t="s">
        <v>53</v>
      </c>
      <c r="AL23" s="5">
        <v>42686</v>
      </c>
      <c r="AM23" s="6" t="s">
        <v>1041</v>
      </c>
      <c r="AO23" s="2" t="s">
        <v>107</v>
      </c>
    </row>
    <row r="24" spans="1:41" x14ac:dyDescent="0.3">
      <c r="A24" s="2">
        <v>17</v>
      </c>
      <c r="B24" s="2" t="str">
        <f>_xlfn.CONCAT(Table1[[#This Row],[Acession_no_.1]],"|",Table1[[#This Row],[Strain name]],"|",Table1[[#This Row],[host_simple]],"|",Table1[[#This Row],[Country]],"|",Table1[[#This Row],[date_text]])</f>
        <v>MT119476|Bri-215|Mn|Guinea|2016-11-13</v>
      </c>
      <c r="C24" s="2" t="s">
        <v>1245</v>
      </c>
      <c r="D24" s="2" t="str">
        <f>IF(ISNUMBER(MATCH(B24,finalSelection!$A$1:$A$497,0)),"yes","no")</f>
        <v>no</v>
      </c>
      <c r="E24" s="2" t="s">
        <v>789</v>
      </c>
      <c r="F24" s="2" t="s">
        <v>108</v>
      </c>
      <c r="H24" s="2" t="s">
        <v>109</v>
      </c>
      <c r="I24" s="2" t="s">
        <v>36</v>
      </c>
      <c r="J24" s="2" t="s">
        <v>37</v>
      </c>
      <c r="K24" s="2" t="s">
        <v>38</v>
      </c>
      <c r="L24" s="2" t="s">
        <v>37</v>
      </c>
      <c r="M24" s="2" t="str">
        <f>VLOOKUP(C24,seqConcatenated!$A$1:$B$124,2, FALSE)</f>
        <v>MT119476 and MT119570 are merged</v>
      </c>
      <c r="N24" s="2" t="str">
        <f>IF(ISNA(Table1[[#This Row],[Column2]]),Table1[[#This Row],[comments2]], IF(O24="NA",M24,_xlfn.CONCAT(O24,"--",M24)))</f>
        <v>MT119476 and MT119570 are merged</v>
      </c>
      <c r="O24" s="2" t="s">
        <v>39</v>
      </c>
      <c r="P24" s="2" t="s">
        <v>40</v>
      </c>
      <c r="Q24" s="2" t="s">
        <v>41</v>
      </c>
      <c r="S24" s="2" t="s">
        <v>42</v>
      </c>
      <c r="T24" s="2" t="s">
        <v>43</v>
      </c>
      <c r="U24" s="2" t="s">
        <v>44</v>
      </c>
      <c r="V24" s="2" t="s">
        <v>45</v>
      </c>
      <c r="W24" s="2">
        <v>888</v>
      </c>
      <c r="X24" s="2" t="s">
        <v>46</v>
      </c>
      <c r="Y24" s="2" t="s">
        <v>47</v>
      </c>
      <c r="AA24" s="2" t="s">
        <v>48</v>
      </c>
      <c r="AB24" s="2">
        <v>1</v>
      </c>
      <c r="AC24" s="2" t="s">
        <v>49</v>
      </c>
      <c r="AD24" s="2" t="s">
        <v>50</v>
      </c>
      <c r="AE24" s="4">
        <v>10.216833299999999</v>
      </c>
      <c r="AF24" s="4">
        <v>-10.6887667</v>
      </c>
      <c r="AG24" s="2" t="s">
        <v>51</v>
      </c>
      <c r="AI24" s="2" t="s">
        <v>52</v>
      </c>
      <c r="AJ24" s="2" t="str">
        <f>IF(Table1[[#This Row],[Host]]="Mastomys natalensis", "Mn", IF(Table1[[#This Row],[Host]]="Homo Sapiens","Human","PROBLEMMEMEMMEMEMEMM"))</f>
        <v>Mn</v>
      </c>
      <c r="AK24" s="2" t="s">
        <v>53</v>
      </c>
      <c r="AL24" s="5">
        <v>42687</v>
      </c>
      <c r="AM24" s="6" t="s">
        <v>1042</v>
      </c>
      <c r="AO24" s="2" t="s">
        <v>110</v>
      </c>
    </row>
    <row r="25" spans="1:41" x14ac:dyDescent="0.3">
      <c r="A25" s="2">
        <v>111</v>
      </c>
      <c r="B25" s="2" t="str">
        <f>_xlfn.CONCAT(Table1[[#This Row],[Acession_no_.1]],"|",Table1[[#This Row],[Strain name]],"|",Table1[[#This Row],[host_simple]],"|",Table1[[#This Row],[Country]],"|",Table1[[#This Row],[date_text]])</f>
        <v>MT119570|Bri-215|Mn|Guinea|2016-11-13</v>
      </c>
      <c r="C25" s="2" t="s">
        <v>1245</v>
      </c>
      <c r="D25" s="2" t="str">
        <f>IF(ISNUMBER(MATCH(B25,finalSelection!$A$1:$A$497,0)),"yes","no")</f>
        <v>no</v>
      </c>
      <c r="E25" s="2" t="s">
        <v>790</v>
      </c>
      <c r="F25" s="2" t="s">
        <v>111</v>
      </c>
      <c r="H25" s="2" t="s">
        <v>109</v>
      </c>
      <c r="I25" s="2" t="s">
        <v>56</v>
      </c>
      <c r="J25" s="2" t="s">
        <v>37</v>
      </c>
      <c r="K25" s="2" t="s">
        <v>38</v>
      </c>
      <c r="L25" s="2" t="s">
        <v>37</v>
      </c>
      <c r="M25" s="2" t="str">
        <f>VLOOKUP(C25,seqConcatenated!$A$1:$B$124,2, FALSE)</f>
        <v>MT119476 and MT119570 are merged</v>
      </c>
      <c r="N25" s="2" t="str">
        <f>IF(ISNA(Table1[[#This Row],[Column2]]),Table1[[#This Row],[comments2]], IF(O25="NA",M25,_xlfn.CONCAT(O25,"--",M25)))</f>
        <v>MT119476 and MT119570 are merged</v>
      </c>
      <c r="O25" s="2" t="s">
        <v>39</v>
      </c>
      <c r="P25" s="2" t="s">
        <v>40</v>
      </c>
      <c r="Q25" s="2" t="s">
        <v>41</v>
      </c>
      <c r="S25" s="2" t="s">
        <v>42</v>
      </c>
      <c r="T25" s="2" t="s">
        <v>43</v>
      </c>
      <c r="U25" s="2" t="s">
        <v>44</v>
      </c>
      <c r="V25" s="2" t="s">
        <v>45</v>
      </c>
      <c r="W25" s="2">
        <v>735</v>
      </c>
      <c r="X25" s="2" t="s">
        <v>46</v>
      </c>
      <c r="Y25" s="2" t="s">
        <v>47</v>
      </c>
      <c r="AA25" s="2" t="s">
        <v>48</v>
      </c>
      <c r="AB25" s="2">
        <v>1</v>
      </c>
      <c r="AC25" s="2" t="s">
        <v>49</v>
      </c>
      <c r="AD25" s="2" t="s">
        <v>50</v>
      </c>
      <c r="AE25" s="4">
        <v>10.216833299999999</v>
      </c>
      <c r="AF25" s="4">
        <v>-10.6887667</v>
      </c>
      <c r="AG25" s="2" t="s">
        <v>51</v>
      </c>
      <c r="AI25" s="2" t="s">
        <v>52</v>
      </c>
      <c r="AJ25" s="2" t="str">
        <f>IF(Table1[[#This Row],[Host]]="Mastomys natalensis", "Mn", IF(Table1[[#This Row],[Host]]="Homo Sapiens","Human","PROBLEMMEMEMMEMEMEMM"))</f>
        <v>Mn</v>
      </c>
      <c r="AK25" s="2" t="s">
        <v>53</v>
      </c>
      <c r="AL25" s="5">
        <v>42687</v>
      </c>
      <c r="AM25" s="6" t="s">
        <v>1042</v>
      </c>
      <c r="AO25" s="2" t="s">
        <v>112</v>
      </c>
    </row>
    <row r="26" spans="1:41" x14ac:dyDescent="0.3">
      <c r="A26" s="2">
        <v>18</v>
      </c>
      <c r="B26" s="2" t="str">
        <f>_xlfn.CONCAT(Table1[[#This Row],[Acession_no_.1]],"|",Table1[[#This Row],[Strain name]],"|",Table1[[#This Row],[host_simple]],"|",Table1[[#This Row],[Country]],"|",Table1[[#This Row],[date_text]])</f>
        <v>MT119477|Bri-216|Mn|Guinea|2016-11-13</v>
      </c>
      <c r="C26" s="2" t="s">
        <v>1246</v>
      </c>
      <c r="D26" s="2" t="str">
        <f>IF(ISNUMBER(MATCH(B26,finalSelection!$A$1:$A$497,0)),"yes","no")</f>
        <v>yes</v>
      </c>
      <c r="E26" s="2" t="s">
        <v>791</v>
      </c>
      <c r="F26" s="2" t="s">
        <v>113</v>
      </c>
      <c r="H26" s="2" t="s">
        <v>114</v>
      </c>
      <c r="I26" s="2" t="s">
        <v>36</v>
      </c>
      <c r="J26" s="2" t="s">
        <v>37</v>
      </c>
      <c r="K26" s="2" t="s">
        <v>38</v>
      </c>
      <c r="L26" s="2" t="s">
        <v>37</v>
      </c>
      <c r="M26" s="2" t="str">
        <f>VLOOKUP(C26,seqConcatenated!$A$1:$B$124,2, FALSE)</f>
        <v>MT119477 and MT119571 are merged</v>
      </c>
      <c r="N26" s="2" t="str">
        <f>IF(ISNA(Table1[[#This Row],[Column2]]),Table1[[#This Row],[comments2]], IF(O26="NA",M26,_xlfn.CONCAT(O26,"--",M26)))</f>
        <v>MT119477 and MT119571 are merged</v>
      </c>
      <c r="O26" s="2" t="s">
        <v>39</v>
      </c>
      <c r="P26" s="2" t="s">
        <v>40</v>
      </c>
      <c r="Q26" s="2" t="s">
        <v>41</v>
      </c>
      <c r="S26" s="2" t="s">
        <v>42</v>
      </c>
      <c r="T26" s="2" t="s">
        <v>43</v>
      </c>
      <c r="U26" s="2" t="s">
        <v>44</v>
      </c>
      <c r="V26" s="2" t="s">
        <v>45</v>
      </c>
      <c r="W26" s="2">
        <v>888</v>
      </c>
      <c r="X26" s="2" t="s">
        <v>46</v>
      </c>
      <c r="Y26" s="2" t="s">
        <v>47</v>
      </c>
      <c r="AA26" s="2" t="s">
        <v>48</v>
      </c>
      <c r="AB26" s="2">
        <v>1</v>
      </c>
      <c r="AC26" s="2" t="s">
        <v>49</v>
      </c>
      <c r="AD26" s="2" t="s">
        <v>50</v>
      </c>
      <c r="AE26" s="4">
        <v>10.216833299999999</v>
      </c>
      <c r="AF26" s="4">
        <v>-10.6887667</v>
      </c>
      <c r="AG26" s="2" t="s">
        <v>51</v>
      </c>
      <c r="AI26" s="2" t="s">
        <v>52</v>
      </c>
      <c r="AJ26" s="2" t="str">
        <f>IF(Table1[[#This Row],[Host]]="Mastomys natalensis", "Mn", IF(Table1[[#This Row],[Host]]="Homo Sapiens","Human","PROBLEMMEMEMMEMEMEMM"))</f>
        <v>Mn</v>
      </c>
      <c r="AK26" s="2" t="s">
        <v>53</v>
      </c>
      <c r="AL26" s="5">
        <v>42687</v>
      </c>
      <c r="AM26" s="6" t="s">
        <v>1042</v>
      </c>
      <c r="AO26" s="2" t="s">
        <v>115</v>
      </c>
    </row>
    <row r="27" spans="1:41" x14ac:dyDescent="0.3">
      <c r="A27" s="2">
        <v>112</v>
      </c>
      <c r="B27" s="2" t="str">
        <f>_xlfn.CONCAT(Table1[[#This Row],[Acession_no_.1]],"|",Table1[[#This Row],[Strain name]],"|",Table1[[#This Row],[host_simple]],"|",Table1[[#This Row],[Country]],"|",Table1[[#This Row],[date_text]])</f>
        <v>MT119571|Bri-216|Mn|Guinea|2016-11-13</v>
      </c>
      <c r="C27" s="2" t="s">
        <v>1246</v>
      </c>
      <c r="D27" s="2" t="str">
        <f>IF(ISNUMBER(MATCH(B27,finalSelection!$A$1:$A$497,0)),"yes","no")</f>
        <v>no</v>
      </c>
      <c r="E27" s="2" t="s">
        <v>792</v>
      </c>
      <c r="F27" s="2" t="s">
        <v>116</v>
      </c>
      <c r="H27" s="2" t="s">
        <v>114</v>
      </c>
      <c r="I27" s="2" t="s">
        <v>56</v>
      </c>
      <c r="J27" s="2" t="s">
        <v>37</v>
      </c>
      <c r="K27" s="2" t="s">
        <v>38</v>
      </c>
      <c r="L27" s="2" t="s">
        <v>37</v>
      </c>
      <c r="M27" s="2" t="str">
        <f>VLOOKUP(C27,seqConcatenated!$A$1:$B$124,2, FALSE)</f>
        <v>MT119477 and MT119571 are merged</v>
      </c>
      <c r="N27" s="2" t="str">
        <f>IF(ISNA(Table1[[#This Row],[Column2]]),Table1[[#This Row],[comments2]], IF(O27="NA",M27,_xlfn.CONCAT(O27,"--",M27)))</f>
        <v>MT119477 and MT119571 are merged</v>
      </c>
      <c r="O27" s="2" t="s">
        <v>39</v>
      </c>
      <c r="P27" s="2" t="s">
        <v>40</v>
      </c>
      <c r="Q27" s="2" t="s">
        <v>41</v>
      </c>
      <c r="S27" s="2" t="s">
        <v>42</v>
      </c>
      <c r="T27" s="2" t="s">
        <v>43</v>
      </c>
      <c r="U27" s="2" t="s">
        <v>44</v>
      </c>
      <c r="V27" s="2" t="s">
        <v>45</v>
      </c>
      <c r="W27" s="2">
        <v>735</v>
      </c>
      <c r="X27" s="2" t="s">
        <v>46</v>
      </c>
      <c r="Y27" s="2" t="s">
        <v>47</v>
      </c>
      <c r="AA27" s="2" t="s">
        <v>48</v>
      </c>
      <c r="AB27" s="2">
        <v>1</v>
      </c>
      <c r="AC27" s="2" t="s">
        <v>49</v>
      </c>
      <c r="AD27" s="2" t="s">
        <v>50</v>
      </c>
      <c r="AE27" s="4">
        <v>10.216833299999999</v>
      </c>
      <c r="AF27" s="4">
        <v>-10.6887667</v>
      </c>
      <c r="AG27" s="2" t="s">
        <v>51</v>
      </c>
      <c r="AI27" s="2" t="s">
        <v>52</v>
      </c>
      <c r="AJ27" s="2" t="str">
        <f>IF(Table1[[#This Row],[Host]]="Mastomys natalensis", "Mn", IF(Table1[[#This Row],[Host]]="Homo Sapiens","Human","PROBLEMMEMEMMEMEMEMM"))</f>
        <v>Mn</v>
      </c>
      <c r="AK27" s="2" t="s">
        <v>53</v>
      </c>
      <c r="AL27" s="5">
        <v>42687</v>
      </c>
      <c r="AM27" s="6" t="s">
        <v>1042</v>
      </c>
      <c r="AO27" s="2" t="s">
        <v>117</v>
      </c>
    </row>
    <row r="28" spans="1:41" x14ac:dyDescent="0.3">
      <c r="A28" s="2">
        <v>19</v>
      </c>
      <c r="B28" s="2" t="str">
        <f>_xlfn.CONCAT(Table1[[#This Row],[Acession_no_.1]],"|",Table1[[#This Row],[Strain name]],"|",Table1[[#This Row],[host_simple]],"|",Table1[[#This Row],[Country]],"|",Table1[[#This Row],[date_text]])</f>
        <v>MT119478|Bri-221|Mn|Guinea|2016-11-13</v>
      </c>
      <c r="C28" s="2" t="s">
        <v>1247</v>
      </c>
      <c r="D28" s="2" t="str">
        <f>IF(ISNUMBER(MATCH(B28,finalSelection!$A$1:$A$497,0)),"yes","no")</f>
        <v>yes</v>
      </c>
      <c r="E28" s="2" t="s">
        <v>793</v>
      </c>
      <c r="F28" s="2" t="s">
        <v>118</v>
      </c>
      <c r="H28" s="2" t="s">
        <v>119</v>
      </c>
      <c r="I28" s="2" t="s">
        <v>36</v>
      </c>
      <c r="J28" s="2" t="s">
        <v>37</v>
      </c>
      <c r="K28" s="2" t="s">
        <v>38</v>
      </c>
      <c r="L28" s="2" t="s">
        <v>37</v>
      </c>
      <c r="M28" s="2" t="str">
        <f>VLOOKUP(C28,seqConcatenated!$A$1:$B$124,2, FALSE)</f>
        <v>MT119478 and MT119572 are merged</v>
      </c>
      <c r="N28" s="2" t="str">
        <f>IF(ISNA(Table1[[#This Row],[Column2]]),Table1[[#This Row],[comments2]], IF(O28="NA",M28,_xlfn.CONCAT(O28,"--",M28)))</f>
        <v>MT119478 and MT119572 are merged</v>
      </c>
      <c r="O28" s="2" t="s">
        <v>39</v>
      </c>
      <c r="P28" s="2" t="s">
        <v>40</v>
      </c>
      <c r="Q28" s="2" t="s">
        <v>41</v>
      </c>
      <c r="S28" s="2" t="s">
        <v>42</v>
      </c>
      <c r="T28" s="2" t="s">
        <v>43</v>
      </c>
      <c r="U28" s="2" t="s">
        <v>44</v>
      </c>
      <c r="V28" s="2" t="s">
        <v>45</v>
      </c>
      <c r="W28" s="2">
        <v>888</v>
      </c>
      <c r="X28" s="2" t="s">
        <v>46</v>
      </c>
      <c r="Y28" s="2" t="s">
        <v>47</v>
      </c>
      <c r="AA28" s="2" t="s">
        <v>48</v>
      </c>
      <c r="AB28" s="2">
        <v>1</v>
      </c>
      <c r="AC28" s="2" t="s">
        <v>49</v>
      </c>
      <c r="AD28" s="2" t="s">
        <v>50</v>
      </c>
      <c r="AE28" s="4">
        <v>10.216833299999999</v>
      </c>
      <c r="AF28" s="4">
        <v>-10.6887667</v>
      </c>
      <c r="AG28" s="2" t="s">
        <v>51</v>
      </c>
      <c r="AI28" s="2" t="s">
        <v>52</v>
      </c>
      <c r="AJ28" s="2" t="str">
        <f>IF(Table1[[#This Row],[Host]]="Mastomys natalensis", "Mn", IF(Table1[[#This Row],[Host]]="Homo Sapiens","Human","PROBLEMMEMEMMEMEMEMM"))</f>
        <v>Mn</v>
      </c>
      <c r="AK28" s="2" t="s">
        <v>53</v>
      </c>
      <c r="AL28" s="5">
        <v>42687</v>
      </c>
      <c r="AM28" s="6" t="s">
        <v>1042</v>
      </c>
      <c r="AO28" s="2" t="s">
        <v>120</v>
      </c>
    </row>
    <row r="29" spans="1:41" x14ac:dyDescent="0.3">
      <c r="A29" s="2">
        <v>113</v>
      </c>
      <c r="B29" s="2" t="str">
        <f>_xlfn.CONCAT(Table1[[#This Row],[Acession_no_.1]],"|",Table1[[#This Row],[Strain name]],"|",Table1[[#This Row],[host_simple]],"|",Table1[[#This Row],[Country]],"|",Table1[[#This Row],[date_text]])</f>
        <v>MT119572|Bri-221|Mn|Guinea|2016-11-13</v>
      </c>
      <c r="C29" s="2" t="s">
        <v>1247</v>
      </c>
      <c r="D29" s="2" t="str">
        <f>IF(ISNUMBER(MATCH(B29,finalSelection!$A$1:$A$497,0)),"yes","no")</f>
        <v>no</v>
      </c>
      <c r="E29" s="2" t="s">
        <v>794</v>
      </c>
      <c r="F29" s="2" t="s">
        <v>121</v>
      </c>
      <c r="H29" s="2" t="s">
        <v>119</v>
      </c>
      <c r="I29" s="2" t="s">
        <v>56</v>
      </c>
      <c r="J29" s="2" t="s">
        <v>37</v>
      </c>
      <c r="K29" s="2" t="s">
        <v>38</v>
      </c>
      <c r="L29" s="2" t="s">
        <v>37</v>
      </c>
      <c r="M29" s="2" t="str">
        <f>VLOOKUP(C29,seqConcatenated!$A$1:$B$124,2, FALSE)</f>
        <v>MT119478 and MT119572 are merged</v>
      </c>
      <c r="N29" s="2" t="str">
        <f>IF(ISNA(Table1[[#This Row],[Column2]]),Table1[[#This Row],[comments2]], IF(O29="NA",M29,_xlfn.CONCAT(O29,"--",M29)))</f>
        <v>MT119478 and MT119572 are merged</v>
      </c>
      <c r="O29" s="2" t="s">
        <v>39</v>
      </c>
      <c r="P29" s="2" t="s">
        <v>40</v>
      </c>
      <c r="Q29" s="2" t="s">
        <v>41</v>
      </c>
      <c r="S29" s="2" t="s">
        <v>42</v>
      </c>
      <c r="T29" s="2" t="s">
        <v>43</v>
      </c>
      <c r="U29" s="2" t="s">
        <v>44</v>
      </c>
      <c r="V29" s="2" t="s">
        <v>45</v>
      </c>
      <c r="W29" s="2">
        <v>735</v>
      </c>
      <c r="X29" s="2" t="s">
        <v>46</v>
      </c>
      <c r="Y29" s="2" t="s">
        <v>47</v>
      </c>
      <c r="AA29" s="2" t="s">
        <v>48</v>
      </c>
      <c r="AB29" s="2">
        <v>1</v>
      </c>
      <c r="AC29" s="2" t="s">
        <v>49</v>
      </c>
      <c r="AD29" s="2" t="s">
        <v>50</v>
      </c>
      <c r="AE29" s="4">
        <v>10.216833299999999</v>
      </c>
      <c r="AF29" s="4">
        <v>-10.6887667</v>
      </c>
      <c r="AG29" s="2" t="s">
        <v>51</v>
      </c>
      <c r="AI29" s="2" t="s">
        <v>52</v>
      </c>
      <c r="AJ29" s="2" t="str">
        <f>IF(Table1[[#This Row],[Host]]="Mastomys natalensis", "Mn", IF(Table1[[#This Row],[Host]]="Homo Sapiens","Human","PROBLEMMEMEMMEMEMEMM"))</f>
        <v>Mn</v>
      </c>
      <c r="AK29" s="2" t="s">
        <v>53</v>
      </c>
      <c r="AL29" s="5">
        <v>42687</v>
      </c>
      <c r="AM29" s="6" t="s">
        <v>1042</v>
      </c>
      <c r="AO29" s="2" t="s">
        <v>122</v>
      </c>
    </row>
    <row r="30" spans="1:41" x14ac:dyDescent="0.3">
      <c r="A30" s="2">
        <v>20</v>
      </c>
      <c r="B30" s="2" t="str">
        <f>_xlfn.CONCAT(Table1[[#This Row],[Acession_no_.1]],"|",Table1[[#This Row],[Strain name]],"|",Table1[[#This Row],[host_simple]],"|",Table1[[#This Row],[Country]],"|",Table1[[#This Row],[date_text]])</f>
        <v>MT119479|Bri-222|Mn|Guinea|2016-11-13</v>
      </c>
      <c r="C30" s="2" t="s">
        <v>1248</v>
      </c>
      <c r="D30" s="2" t="str">
        <f>IF(ISNUMBER(MATCH(B30,finalSelection!$A$1:$A$497,0)),"yes","no")</f>
        <v>yes</v>
      </c>
      <c r="E30" s="2" t="s">
        <v>795</v>
      </c>
      <c r="F30" s="2" t="s">
        <v>123</v>
      </c>
      <c r="H30" s="2" t="s">
        <v>124</v>
      </c>
      <c r="I30" s="2" t="s">
        <v>36</v>
      </c>
      <c r="J30" s="2" t="s">
        <v>37</v>
      </c>
      <c r="K30" s="2" t="s">
        <v>38</v>
      </c>
      <c r="L30" s="2" t="s">
        <v>37</v>
      </c>
      <c r="M30" s="2" t="str">
        <f>VLOOKUP(C30,seqConcatenated!$A$1:$B$124,2, FALSE)</f>
        <v>MT119479 and MT119573 are merged</v>
      </c>
      <c r="N30" s="2" t="str">
        <f>IF(ISNA(Table1[[#This Row],[Column2]]),Table1[[#This Row],[comments2]], IF(O30="NA",M30,_xlfn.CONCAT(O30,"--",M30)))</f>
        <v>MT119479 and MT119573 are merged</v>
      </c>
      <c r="O30" s="2" t="s">
        <v>39</v>
      </c>
      <c r="P30" s="2" t="s">
        <v>40</v>
      </c>
      <c r="Q30" s="2" t="s">
        <v>41</v>
      </c>
      <c r="S30" s="2" t="s">
        <v>42</v>
      </c>
      <c r="T30" s="2" t="s">
        <v>43</v>
      </c>
      <c r="U30" s="2" t="s">
        <v>44</v>
      </c>
      <c r="V30" s="2" t="s">
        <v>45</v>
      </c>
      <c r="W30" s="2">
        <v>888</v>
      </c>
      <c r="X30" s="2" t="s">
        <v>46</v>
      </c>
      <c r="Y30" s="2" t="s">
        <v>47</v>
      </c>
      <c r="AA30" s="2" t="s">
        <v>48</v>
      </c>
      <c r="AB30" s="2">
        <v>1</v>
      </c>
      <c r="AC30" s="2" t="s">
        <v>49</v>
      </c>
      <c r="AD30" s="2" t="s">
        <v>50</v>
      </c>
      <c r="AE30" s="4">
        <v>10.216833299999999</v>
      </c>
      <c r="AF30" s="4">
        <v>-10.6887667</v>
      </c>
      <c r="AG30" s="2" t="s">
        <v>51</v>
      </c>
      <c r="AI30" s="2" t="s">
        <v>52</v>
      </c>
      <c r="AJ30" s="2" t="str">
        <f>IF(Table1[[#This Row],[Host]]="Mastomys natalensis", "Mn", IF(Table1[[#This Row],[Host]]="Homo Sapiens","Human","PROBLEMMEMEMMEMEMEMM"))</f>
        <v>Mn</v>
      </c>
      <c r="AK30" s="2" t="s">
        <v>53</v>
      </c>
      <c r="AL30" s="5">
        <v>42687</v>
      </c>
      <c r="AM30" s="6" t="s">
        <v>1042</v>
      </c>
      <c r="AO30" s="2" t="s">
        <v>125</v>
      </c>
    </row>
    <row r="31" spans="1:41" x14ac:dyDescent="0.3">
      <c r="A31" s="2">
        <v>114</v>
      </c>
      <c r="B31" s="2" t="str">
        <f>_xlfn.CONCAT(Table1[[#This Row],[Acession_no_.1]],"|",Table1[[#This Row],[Strain name]],"|",Table1[[#This Row],[host_simple]],"|",Table1[[#This Row],[Country]],"|",Table1[[#This Row],[date_text]])</f>
        <v>MT119573|Bri-222|Mn|Guinea|2016-11-13</v>
      </c>
      <c r="C31" s="2" t="s">
        <v>1248</v>
      </c>
      <c r="D31" s="2" t="str">
        <f>IF(ISNUMBER(MATCH(B31,finalSelection!$A$1:$A$497,0)),"yes","no")</f>
        <v>no</v>
      </c>
      <c r="E31" s="2" t="s">
        <v>796</v>
      </c>
      <c r="F31" s="2" t="s">
        <v>126</v>
      </c>
      <c r="H31" s="2" t="s">
        <v>124</v>
      </c>
      <c r="I31" s="2" t="s">
        <v>56</v>
      </c>
      <c r="J31" s="2" t="s">
        <v>37</v>
      </c>
      <c r="K31" s="2" t="s">
        <v>38</v>
      </c>
      <c r="L31" s="2" t="s">
        <v>37</v>
      </c>
      <c r="M31" s="2" t="str">
        <f>VLOOKUP(C31,seqConcatenated!$A$1:$B$124,2, FALSE)</f>
        <v>MT119479 and MT119573 are merged</v>
      </c>
      <c r="N31" s="2" t="str">
        <f>IF(ISNA(Table1[[#This Row],[Column2]]),Table1[[#This Row],[comments2]], IF(O31="NA",M31,_xlfn.CONCAT(O31,"--",M31)))</f>
        <v>MT119479 and MT119573 are merged</v>
      </c>
      <c r="O31" s="2" t="s">
        <v>39</v>
      </c>
      <c r="P31" s="2" t="s">
        <v>40</v>
      </c>
      <c r="Q31" s="2" t="s">
        <v>41</v>
      </c>
      <c r="S31" s="2" t="s">
        <v>42</v>
      </c>
      <c r="T31" s="2" t="s">
        <v>43</v>
      </c>
      <c r="U31" s="2" t="s">
        <v>44</v>
      </c>
      <c r="V31" s="2" t="s">
        <v>45</v>
      </c>
      <c r="W31" s="2">
        <v>735</v>
      </c>
      <c r="X31" s="2" t="s">
        <v>46</v>
      </c>
      <c r="Y31" s="2" t="s">
        <v>47</v>
      </c>
      <c r="AA31" s="2" t="s">
        <v>48</v>
      </c>
      <c r="AB31" s="2">
        <v>1</v>
      </c>
      <c r="AC31" s="2" t="s">
        <v>49</v>
      </c>
      <c r="AD31" s="2" t="s">
        <v>50</v>
      </c>
      <c r="AE31" s="4">
        <v>10.216833299999999</v>
      </c>
      <c r="AF31" s="4">
        <v>-10.6887667</v>
      </c>
      <c r="AG31" s="2" t="s">
        <v>51</v>
      </c>
      <c r="AI31" s="2" t="s">
        <v>52</v>
      </c>
      <c r="AJ31" s="2" t="str">
        <f>IF(Table1[[#This Row],[Host]]="Mastomys natalensis", "Mn", IF(Table1[[#This Row],[Host]]="Homo Sapiens","Human","PROBLEMMEMEMMEMEMEMM"))</f>
        <v>Mn</v>
      </c>
      <c r="AK31" s="2" t="s">
        <v>53</v>
      </c>
      <c r="AL31" s="5">
        <v>42687</v>
      </c>
      <c r="AM31" s="6" t="s">
        <v>1042</v>
      </c>
      <c r="AO31" s="2" t="s">
        <v>127</v>
      </c>
    </row>
    <row r="32" spans="1:41" x14ac:dyDescent="0.3">
      <c r="A32" s="2">
        <v>21</v>
      </c>
      <c r="B32" s="2" t="str">
        <f>_xlfn.CONCAT(Table1[[#This Row],[Acession_no_.1]],"|",Table1[[#This Row],[Strain name]],"|",Table1[[#This Row],[host_simple]],"|",Table1[[#This Row],[Country]],"|",Table1[[#This Row],[date_text]])</f>
        <v>MT119480|Bri-228|Mn|Guinea|2016-11-14</v>
      </c>
      <c r="C32" s="2" t="s">
        <v>1249</v>
      </c>
      <c r="D32" s="2" t="str">
        <f>IF(ISNUMBER(MATCH(B32,finalSelection!$A$1:$A$497,0)),"yes","no")</f>
        <v>yes</v>
      </c>
      <c r="E32" s="2" t="s">
        <v>797</v>
      </c>
      <c r="F32" s="2" t="s">
        <v>128</v>
      </c>
      <c r="H32" s="2" t="s">
        <v>129</v>
      </c>
      <c r="I32" s="2" t="s">
        <v>36</v>
      </c>
      <c r="J32" s="2" t="s">
        <v>37</v>
      </c>
      <c r="K32" s="2" t="s">
        <v>38</v>
      </c>
      <c r="L32" s="2" t="s">
        <v>37</v>
      </c>
      <c r="M32" s="2" t="str">
        <f>VLOOKUP(C32,seqConcatenated!$A$1:$B$124,2, FALSE)</f>
        <v>MT119480 and MT119574 are merged</v>
      </c>
      <c r="N32" s="2" t="str">
        <f>IF(ISNA(Table1[[#This Row],[Column2]]),Table1[[#This Row],[comments2]], IF(O32="NA",M32,_xlfn.CONCAT(O32,"--",M32)))</f>
        <v>MT119480 and MT119574 are merged</v>
      </c>
      <c r="O32" s="2" t="s">
        <v>39</v>
      </c>
      <c r="P32" s="2" t="s">
        <v>40</v>
      </c>
      <c r="Q32" s="2" t="s">
        <v>41</v>
      </c>
      <c r="S32" s="2" t="s">
        <v>42</v>
      </c>
      <c r="T32" s="2" t="s">
        <v>43</v>
      </c>
      <c r="U32" s="2" t="s">
        <v>44</v>
      </c>
      <c r="V32" s="2" t="s">
        <v>45</v>
      </c>
      <c r="W32" s="2">
        <v>888</v>
      </c>
      <c r="X32" s="2" t="s">
        <v>46</v>
      </c>
      <c r="Y32" s="2" t="s">
        <v>47</v>
      </c>
      <c r="AA32" s="2" t="s">
        <v>48</v>
      </c>
      <c r="AB32" s="2">
        <v>1</v>
      </c>
      <c r="AC32" s="2" t="s">
        <v>49</v>
      </c>
      <c r="AD32" s="2" t="s">
        <v>50</v>
      </c>
      <c r="AE32" s="4">
        <v>10.216833299999999</v>
      </c>
      <c r="AF32" s="4">
        <v>-10.6887667</v>
      </c>
      <c r="AG32" s="2" t="s">
        <v>51</v>
      </c>
      <c r="AI32" s="2" t="s">
        <v>52</v>
      </c>
      <c r="AJ32" s="2" t="str">
        <f>IF(Table1[[#This Row],[Host]]="Mastomys natalensis", "Mn", IF(Table1[[#This Row],[Host]]="Homo Sapiens","Human","PROBLEMMEMEMMEMEMEMM"))</f>
        <v>Mn</v>
      </c>
      <c r="AK32" s="2" t="s">
        <v>53</v>
      </c>
      <c r="AL32" s="5">
        <v>42688</v>
      </c>
      <c r="AM32" s="6" t="s">
        <v>1043</v>
      </c>
      <c r="AO32" s="2" t="s">
        <v>130</v>
      </c>
    </row>
    <row r="33" spans="1:41" x14ac:dyDescent="0.3">
      <c r="A33" s="2">
        <v>115</v>
      </c>
      <c r="B33" s="2" t="str">
        <f>_xlfn.CONCAT(Table1[[#This Row],[Acession_no_.1]],"|",Table1[[#This Row],[Strain name]],"|",Table1[[#This Row],[host_simple]],"|",Table1[[#This Row],[Country]],"|",Table1[[#This Row],[date_text]])</f>
        <v>MT119574|Bri-228|Mn|Guinea|2016-11-14</v>
      </c>
      <c r="C33" s="2" t="s">
        <v>1249</v>
      </c>
      <c r="D33" s="2" t="str">
        <f>IF(ISNUMBER(MATCH(B33,finalSelection!$A$1:$A$497,0)),"yes","no")</f>
        <v>no</v>
      </c>
      <c r="E33" s="2" t="s">
        <v>798</v>
      </c>
      <c r="F33" s="2" t="s">
        <v>131</v>
      </c>
      <c r="H33" s="2" t="s">
        <v>129</v>
      </c>
      <c r="I33" s="2" t="s">
        <v>56</v>
      </c>
      <c r="J33" s="2" t="s">
        <v>37</v>
      </c>
      <c r="K33" s="2" t="s">
        <v>38</v>
      </c>
      <c r="L33" s="2" t="s">
        <v>37</v>
      </c>
      <c r="M33" s="2" t="str">
        <f>VLOOKUP(C33,seqConcatenated!$A$1:$B$124,2, FALSE)</f>
        <v>MT119480 and MT119574 are merged</v>
      </c>
      <c r="N33" s="2" t="str">
        <f>IF(ISNA(Table1[[#This Row],[Column2]]),Table1[[#This Row],[comments2]], IF(O33="NA",M33,_xlfn.CONCAT(O33,"--",M33)))</f>
        <v>MT119480 and MT119574 are merged</v>
      </c>
      <c r="O33" s="2" t="s">
        <v>39</v>
      </c>
      <c r="P33" s="2" t="s">
        <v>40</v>
      </c>
      <c r="Q33" s="2" t="s">
        <v>41</v>
      </c>
      <c r="S33" s="2" t="s">
        <v>42</v>
      </c>
      <c r="T33" s="2" t="s">
        <v>43</v>
      </c>
      <c r="U33" s="2" t="s">
        <v>44</v>
      </c>
      <c r="V33" s="2" t="s">
        <v>45</v>
      </c>
      <c r="W33" s="2">
        <v>735</v>
      </c>
      <c r="X33" s="2" t="s">
        <v>46</v>
      </c>
      <c r="Y33" s="2" t="s">
        <v>47</v>
      </c>
      <c r="AA33" s="2" t="s">
        <v>48</v>
      </c>
      <c r="AB33" s="2">
        <v>1</v>
      </c>
      <c r="AC33" s="2" t="s">
        <v>49</v>
      </c>
      <c r="AD33" s="2" t="s">
        <v>50</v>
      </c>
      <c r="AE33" s="4">
        <v>10.216833299999999</v>
      </c>
      <c r="AF33" s="4">
        <v>-10.6887667</v>
      </c>
      <c r="AG33" s="2" t="s">
        <v>51</v>
      </c>
      <c r="AI33" s="2" t="s">
        <v>52</v>
      </c>
      <c r="AJ33" s="2" t="str">
        <f>IF(Table1[[#This Row],[Host]]="Mastomys natalensis", "Mn", IF(Table1[[#This Row],[Host]]="Homo Sapiens","Human","PROBLEMMEMEMMEMEMEMM"))</f>
        <v>Mn</v>
      </c>
      <c r="AK33" s="2" t="s">
        <v>53</v>
      </c>
      <c r="AL33" s="5">
        <v>42688</v>
      </c>
      <c r="AM33" s="6" t="s">
        <v>1043</v>
      </c>
      <c r="AO33" s="2" t="s">
        <v>132</v>
      </c>
    </row>
    <row r="34" spans="1:41" x14ac:dyDescent="0.3">
      <c r="A34" s="2">
        <v>22</v>
      </c>
      <c r="B34" s="2" t="str">
        <f>_xlfn.CONCAT(Table1[[#This Row],[Acession_no_.1]],"|",Table1[[#This Row],[Strain name]],"|",Table1[[#This Row],[host_simple]],"|",Table1[[#This Row],[Country]],"|",Table1[[#This Row],[date_text]])</f>
        <v>MT119481|Bri-229|Mn|Guinea|2016-11-14</v>
      </c>
      <c r="C34" s="2" t="s">
        <v>1250</v>
      </c>
      <c r="D34" s="2" t="str">
        <f>IF(ISNUMBER(MATCH(B34,finalSelection!$A$1:$A$497,0)),"yes","no")</f>
        <v>yes</v>
      </c>
      <c r="E34" s="2" t="s">
        <v>799</v>
      </c>
      <c r="F34" s="2" t="s">
        <v>133</v>
      </c>
      <c r="H34" s="2" t="s">
        <v>134</v>
      </c>
      <c r="I34" s="2" t="s">
        <v>36</v>
      </c>
      <c r="J34" s="2" t="s">
        <v>37</v>
      </c>
      <c r="K34" s="2" t="s">
        <v>38</v>
      </c>
      <c r="L34" s="2" t="s">
        <v>37</v>
      </c>
      <c r="M34" s="2" t="str">
        <f>VLOOKUP(C34,seqConcatenated!$A$1:$B$124,2, FALSE)</f>
        <v>MT119481 and MT119575 are merged</v>
      </c>
      <c r="N34" s="2" t="str">
        <f>IF(ISNA(Table1[[#This Row],[Column2]]),Table1[[#This Row],[comments2]], IF(O34="NA",M34,_xlfn.CONCAT(O34,"--",M34)))</f>
        <v>MT119481 and MT119575 are merged</v>
      </c>
      <c r="O34" s="2" t="s">
        <v>39</v>
      </c>
      <c r="P34" s="2" t="s">
        <v>40</v>
      </c>
      <c r="Q34" s="2" t="s">
        <v>41</v>
      </c>
      <c r="S34" s="2" t="s">
        <v>42</v>
      </c>
      <c r="T34" s="2" t="s">
        <v>43</v>
      </c>
      <c r="U34" s="2" t="s">
        <v>44</v>
      </c>
      <c r="V34" s="2" t="s">
        <v>45</v>
      </c>
      <c r="W34" s="2">
        <v>888</v>
      </c>
      <c r="X34" s="2" t="s">
        <v>46</v>
      </c>
      <c r="Y34" s="2" t="s">
        <v>47</v>
      </c>
      <c r="AA34" s="2" t="s">
        <v>48</v>
      </c>
      <c r="AB34" s="2">
        <v>1</v>
      </c>
      <c r="AC34" s="2" t="s">
        <v>49</v>
      </c>
      <c r="AD34" s="2" t="s">
        <v>50</v>
      </c>
      <c r="AE34" s="4">
        <v>10.216833299999999</v>
      </c>
      <c r="AF34" s="4">
        <v>-10.6887667</v>
      </c>
      <c r="AG34" s="2" t="s">
        <v>51</v>
      </c>
      <c r="AI34" s="2" t="s">
        <v>52</v>
      </c>
      <c r="AJ34" s="2" t="str">
        <f>IF(Table1[[#This Row],[Host]]="Mastomys natalensis", "Mn", IF(Table1[[#This Row],[Host]]="Homo Sapiens","Human","PROBLEMMEMEMMEMEMEMM"))</f>
        <v>Mn</v>
      </c>
      <c r="AK34" s="2" t="s">
        <v>53</v>
      </c>
      <c r="AL34" s="5">
        <v>42688</v>
      </c>
      <c r="AM34" s="6" t="s">
        <v>1043</v>
      </c>
      <c r="AO34" s="2" t="s">
        <v>135</v>
      </c>
    </row>
    <row r="35" spans="1:41" x14ac:dyDescent="0.3">
      <c r="A35" s="2">
        <v>116</v>
      </c>
      <c r="B35" s="2" t="str">
        <f>_xlfn.CONCAT(Table1[[#This Row],[Acession_no_.1]],"|",Table1[[#This Row],[Strain name]],"|",Table1[[#This Row],[host_simple]],"|",Table1[[#This Row],[Country]],"|",Table1[[#This Row],[date_text]])</f>
        <v>MT119575|Bri-229|Mn|Guinea|2016-11-14</v>
      </c>
      <c r="C35" s="2" t="s">
        <v>1250</v>
      </c>
      <c r="D35" s="2" t="str">
        <f>IF(ISNUMBER(MATCH(B35,finalSelection!$A$1:$A$497,0)),"yes","no")</f>
        <v>no</v>
      </c>
      <c r="E35" s="2" t="s">
        <v>800</v>
      </c>
      <c r="F35" s="2" t="s">
        <v>136</v>
      </c>
      <c r="H35" s="2" t="s">
        <v>134</v>
      </c>
      <c r="I35" s="2" t="s">
        <v>56</v>
      </c>
      <c r="J35" s="2" t="s">
        <v>37</v>
      </c>
      <c r="K35" s="2" t="s">
        <v>38</v>
      </c>
      <c r="L35" s="2" t="s">
        <v>37</v>
      </c>
      <c r="M35" s="2" t="str">
        <f>VLOOKUP(C35,seqConcatenated!$A$1:$B$124,2, FALSE)</f>
        <v>MT119481 and MT119575 are merged</v>
      </c>
      <c r="N35" s="2" t="str">
        <f>IF(ISNA(Table1[[#This Row],[Column2]]),Table1[[#This Row],[comments2]], IF(O35="NA",M35,_xlfn.CONCAT(O35,"--",M35)))</f>
        <v>MT119481 and MT119575 are merged</v>
      </c>
      <c r="O35" s="2" t="s">
        <v>39</v>
      </c>
      <c r="P35" s="2" t="s">
        <v>40</v>
      </c>
      <c r="Q35" s="2" t="s">
        <v>41</v>
      </c>
      <c r="S35" s="2" t="s">
        <v>42</v>
      </c>
      <c r="T35" s="2" t="s">
        <v>43</v>
      </c>
      <c r="U35" s="2" t="s">
        <v>44</v>
      </c>
      <c r="V35" s="2" t="s">
        <v>45</v>
      </c>
      <c r="W35" s="2">
        <v>735</v>
      </c>
      <c r="X35" s="2" t="s">
        <v>46</v>
      </c>
      <c r="Y35" s="2" t="s">
        <v>47</v>
      </c>
      <c r="AA35" s="2" t="s">
        <v>48</v>
      </c>
      <c r="AB35" s="2">
        <v>1</v>
      </c>
      <c r="AC35" s="2" t="s">
        <v>49</v>
      </c>
      <c r="AD35" s="2" t="s">
        <v>50</v>
      </c>
      <c r="AE35" s="4">
        <v>10.216833299999999</v>
      </c>
      <c r="AF35" s="4">
        <v>-10.6887667</v>
      </c>
      <c r="AG35" s="2" t="s">
        <v>51</v>
      </c>
      <c r="AI35" s="2" t="s">
        <v>52</v>
      </c>
      <c r="AJ35" s="2" t="str">
        <f>IF(Table1[[#This Row],[Host]]="Mastomys natalensis", "Mn", IF(Table1[[#This Row],[Host]]="Homo Sapiens","Human","PROBLEMMEMEMMEMEMEMM"))</f>
        <v>Mn</v>
      </c>
      <c r="AK35" s="2" t="s">
        <v>53</v>
      </c>
      <c r="AL35" s="5">
        <v>42688</v>
      </c>
      <c r="AM35" s="6" t="s">
        <v>1043</v>
      </c>
      <c r="AO35" s="2" t="s">
        <v>137</v>
      </c>
    </row>
    <row r="36" spans="1:41" x14ac:dyDescent="0.3">
      <c r="A36" s="2">
        <v>4</v>
      </c>
      <c r="B36" s="2" t="str">
        <f>_xlfn.CONCAT(Table1[[#This Row],[Acession_no_.1]],"|",Table1[[#This Row],[Strain name]],"|",Table1[[#This Row],[host_simple]],"|",Table1[[#This Row],[Country]],"|",Table1[[#This Row],[date_text]])</f>
        <v>MT119463|Bri-94|Mn|Guinea|2015-05-13</v>
      </c>
      <c r="C36" s="2" t="s">
        <v>1251</v>
      </c>
      <c r="D36" s="2" t="str">
        <f>IF(ISNUMBER(MATCH(B36,finalSelection!$A$1:$A$497,0)),"yes","no")</f>
        <v>yes</v>
      </c>
      <c r="E36" s="2" t="s">
        <v>801</v>
      </c>
      <c r="F36" s="2" t="s">
        <v>138</v>
      </c>
      <c r="H36" s="2" t="s">
        <v>139</v>
      </c>
      <c r="I36" s="2" t="s">
        <v>36</v>
      </c>
      <c r="J36" s="2" t="s">
        <v>37</v>
      </c>
      <c r="K36" s="2" t="s">
        <v>38</v>
      </c>
      <c r="L36" s="2" t="s">
        <v>37</v>
      </c>
      <c r="M36" s="2" t="str">
        <f>VLOOKUP(C36,seqConcatenated!$A$1:$B$124,2, FALSE)</f>
        <v>MT119463 and MT119557 are merged</v>
      </c>
      <c r="N36" s="2" t="str">
        <f>IF(ISNA(Table1[[#This Row],[Column2]]),Table1[[#This Row],[comments2]], IF(O36="NA",M36,_xlfn.CONCAT(O36,"--",M36)))</f>
        <v>MT119463 and MT119557 are merged</v>
      </c>
      <c r="O36" s="2" t="s">
        <v>39</v>
      </c>
      <c r="P36" s="2" t="s">
        <v>40</v>
      </c>
      <c r="Q36" s="2" t="s">
        <v>41</v>
      </c>
      <c r="S36" s="2" t="s">
        <v>42</v>
      </c>
      <c r="T36" s="2" t="s">
        <v>43</v>
      </c>
      <c r="U36" s="2" t="s">
        <v>44</v>
      </c>
      <c r="V36" s="2" t="s">
        <v>45</v>
      </c>
      <c r="W36" s="2">
        <v>888</v>
      </c>
      <c r="X36" s="2" t="s">
        <v>46</v>
      </c>
      <c r="Y36" s="2" t="s">
        <v>47</v>
      </c>
      <c r="AA36" s="2" t="s">
        <v>48</v>
      </c>
      <c r="AB36" s="2">
        <v>1</v>
      </c>
      <c r="AC36" s="2" t="s">
        <v>49</v>
      </c>
      <c r="AD36" s="2" t="s">
        <v>50</v>
      </c>
      <c r="AE36" s="4">
        <v>10.216833299999999</v>
      </c>
      <c r="AF36" s="4">
        <v>-10.6887667</v>
      </c>
      <c r="AG36" s="2" t="s">
        <v>51</v>
      </c>
      <c r="AI36" s="2" t="s">
        <v>52</v>
      </c>
      <c r="AJ36" s="2" t="str">
        <f>IF(Table1[[#This Row],[Host]]="Mastomys natalensis", "Mn", IF(Table1[[#This Row],[Host]]="Homo Sapiens","Human","PROBLEMMEMEMMEMEMEMM"))</f>
        <v>Mn</v>
      </c>
      <c r="AK36" s="2" t="s">
        <v>53</v>
      </c>
      <c r="AL36" s="5">
        <v>42137</v>
      </c>
      <c r="AM36" s="6" t="s">
        <v>1044</v>
      </c>
      <c r="AO36" s="2" t="s">
        <v>140</v>
      </c>
    </row>
    <row r="37" spans="1:41" x14ac:dyDescent="0.3">
      <c r="A37" s="2">
        <v>98</v>
      </c>
      <c r="B37" s="2" t="str">
        <f>_xlfn.CONCAT(Table1[[#This Row],[Acession_no_.1]],"|",Table1[[#This Row],[Strain name]],"|",Table1[[#This Row],[host_simple]],"|",Table1[[#This Row],[Country]],"|",Table1[[#This Row],[date_text]])</f>
        <v>MT119557|Bri-94|Mn|Guinea|2015-05-13</v>
      </c>
      <c r="C37" s="2" t="s">
        <v>1251</v>
      </c>
      <c r="D37" s="2" t="str">
        <f>IF(ISNUMBER(MATCH(B37,finalSelection!$A$1:$A$497,0)),"yes","no")</f>
        <v>no</v>
      </c>
      <c r="E37" s="2" t="s">
        <v>802</v>
      </c>
      <c r="F37" s="2" t="s">
        <v>141</v>
      </c>
      <c r="H37" s="2" t="s">
        <v>139</v>
      </c>
      <c r="I37" s="2" t="s">
        <v>56</v>
      </c>
      <c r="J37" s="2" t="s">
        <v>37</v>
      </c>
      <c r="K37" s="2" t="s">
        <v>38</v>
      </c>
      <c r="L37" s="2" t="s">
        <v>37</v>
      </c>
      <c r="M37" s="2" t="str">
        <f>VLOOKUP(C37,seqConcatenated!$A$1:$B$124,2, FALSE)</f>
        <v>MT119463 and MT119557 are merged</v>
      </c>
      <c r="N37" s="2" t="str">
        <f>IF(ISNA(Table1[[#This Row],[Column2]]),Table1[[#This Row],[comments2]], IF(O37="NA",M37,_xlfn.CONCAT(O37,"--",M37)))</f>
        <v>MT119463 and MT119557 are merged</v>
      </c>
      <c r="O37" s="2" t="s">
        <v>39</v>
      </c>
      <c r="P37" s="2" t="s">
        <v>40</v>
      </c>
      <c r="Q37" s="2" t="s">
        <v>41</v>
      </c>
      <c r="S37" s="2" t="s">
        <v>42</v>
      </c>
      <c r="T37" s="2" t="s">
        <v>43</v>
      </c>
      <c r="U37" s="2" t="s">
        <v>44</v>
      </c>
      <c r="V37" s="2" t="s">
        <v>45</v>
      </c>
      <c r="W37" s="2">
        <v>735</v>
      </c>
      <c r="X37" s="2" t="s">
        <v>46</v>
      </c>
      <c r="Y37" s="2" t="s">
        <v>47</v>
      </c>
      <c r="AA37" s="2" t="s">
        <v>48</v>
      </c>
      <c r="AB37" s="2">
        <v>1</v>
      </c>
      <c r="AC37" s="2" t="s">
        <v>49</v>
      </c>
      <c r="AD37" s="2" t="s">
        <v>50</v>
      </c>
      <c r="AE37" s="4">
        <v>10.216833299999999</v>
      </c>
      <c r="AF37" s="4">
        <v>-10.6887667</v>
      </c>
      <c r="AG37" s="2" t="s">
        <v>51</v>
      </c>
      <c r="AI37" s="2" t="s">
        <v>52</v>
      </c>
      <c r="AJ37" s="2" t="str">
        <f>IF(Table1[[#This Row],[Host]]="Mastomys natalensis", "Mn", IF(Table1[[#This Row],[Host]]="Homo Sapiens","Human","PROBLEMMEMEMMEMEMEMM"))</f>
        <v>Mn</v>
      </c>
      <c r="AK37" s="2" t="s">
        <v>53</v>
      </c>
      <c r="AL37" s="5">
        <v>42137</v>
      </c>
      <c r="AM37" s="6" t="s">
        <v>1044</v>
      </c>
      <c r="AO37" s="2" t="s">
        <v>142</v>
      </c>
    </row>
    <row r="38" spans="1:41" x14ac:dyDescent="0.3">
      <c r="A38" s="2">
        <v>5</v>
      </c>
      <c r="B38" s="2" t="str">
        <f>_xlfn.CONCAT(Table1[[#This Row],[Acession_no_.1]],"|",Table1[[#This Row],[Strain name]],"|",Table1[[#This Row],[host_simple]],"|",Table1[[#This Row],[Country]],"|",Table1[[#This Row],[date_text]])</f>
        <v>MT119464|Bri-99|Mn|Guinea|2015-05-15</v>
      </c>
      <c r="C38" s="2" t="s">
        <v>1252</v>
      </c>
      <c r="D38" s="2" t="str">
        <f>IF(ISNUMBER(MATCH(B38,finalSelection!$A$1:$A$497,0)),"yes","no")</f>
        <v>yes</v>
      </c>
      <c r="E38" s="2" t="s">
        <v>803</v>
      </c>
      <c r="F38" s="2" t="s">
        <v>143</v>
      </c>
      <c r="H38" s="2" t="s">
        <v>144</v>
      </c>
      <c r="I38" s="2" t="s">
        <v>36</v>
      </c>
      <c r="J38" s="2" t="s">
        <v>37</v>
      </c>
      <c r="K38" s="2" t="s">
        <v>38</v>
      </c>
      <c r="L38" s="2" t="s">
        <v>37</v>
      </c>
      <c r="M38" s="2" t="str">
        <f>VLOOKUP(C38,seqConcatenated!$A$1:$B$124,2, FALSE)</f>
        <v>MT119464 and MT119558 are merged</v>
      </c>
      <c r="N38" s="2" t="str">
        <f>IF(ISNA(Table1[[#This Row],[Column2]]),Table1[[#This Row],[comments2]], IF(O38="NA",M38,_xlfn.CONCAT(O38,"--",M38)))</f>
        <v>MT119464 and MT119558 are merged</v>
      </c>
      <c r="O38" s="2" t="s">
        <v>39</v>
      </c>
      <c r="P38" s="2" t="s">
        <v>40</v>
      </c>
      <c r="Q38" s="2" t="s">
        <v>41</v>
      </c>
      <c r="S38" s="2" t="s">
        <v>42</v>
      </c>
      <c r="T38" s="2" t="s">
        <v>43</v>
      </c>
      <c r="U38" s="2" t="s">
        <v>44</v>
      </c>
      <c r="V38" s="2" t="s">
        <v>45</v>
      </c>
      <c r="W38" s="2">
        <v>888</v>
      </c>
      <c r="X38" s="2" t="s">
        <v>46</v>
      </c>
      <c r="Y38" s="2" t="s">
        <v>47</v>
      </c>
      <c r="AA38" s="2" t="s">
        <v>48</v>
      </c>
      <c r="AB38" s="2">
        <v>1</v>
      </c>
      <c r="AC38" s="2" t="s">
        <v>49</v>
      </c>
      <c r="AD38" s="2" t="s">
        <v>50</v>
      </c>
      <c r="AE38" s="4">
        <v>10.216833299999999</v>
      </c>
      <c r="AF38" s="4">
        <v>-10.6887667</v>
      </c>
      <c r="AG38" s="2" t="s">
        <v>51</v>
      </c>
      <c r="AI38" s="2" t="s">
        <v>52</v>
      </c>
      <c r="AJ38" s="2" t="str">
        <f>IF(Table1[[#This Row],[Host]]="Mastomys natalensis", "Mn", IF(Table1[[#This Row],[Host]]="Homo Sapiens","Human","PROBLEMMEMEMMEMEMEMM"))</f>
        <v>Mn</v>
      </c>
      <c r="AK38" s="2" t="s">
        <v>53</v>
      </c>
      <c r="AL38" s="5">
        <v>42139</v>
      </c>
      <c r="AM38" s="6" t="s">
        <v>1045</v>
      </c>
      <c r="AO38" s="2" t="s">
        <v>145</v>
      </c>
    </row>
    <row r="39" spans="1:41" x14ac:dyDescent="0.3">
      <c r="A39" s="2">
        <v>99</v>
      </c>
      <c r="B39" s="2" t="str">
        <f>_xlfn.CONCAT(Table1[[#This Row],[Acession_no_.1]],"|",Table1[[#This Row],[Strain name]],"|",Table1[[#This Row],[host_simple]],"|",Table1[[#This Row],[Country]],"|",Table1[[#This Row],[date_text]])</f>
        <v>MT119558|Bri-99|Mn|Guinea|2015-05-15</v>
      </c>
      <c r="C39" s="2" t="s">
        <v>1252</v>
      </c>
      <c r="D39" s="2" t="str">
        <f>IF(ISNUMBER(MATCH(B39,finalSelection!$A$1:$A$497,0)),"yes","no")</f>
        <v>no</v>
      </c>
      <c r="E39" s="2" t="s">
        <v>804</v>
      </c>
      <c r="F39" s="2" t="s">
        <v>146</v>
      </c>
      <c r="H39" s="2" t="s">
        <v>144</v>
      </c>
      <c r="I39" s="2" t="s">
        <v>56</v>
      </c>
      <c r="J39" s="2" t="s">
        <v>37</v>
      </c>
      <c r="K39" s="2" t="s">
        <v>38</v>
      </c>
      <c r="L39" s="2" t="s">
        <v>37</v>
      </c>
      <c r="M39" s="2" t="str">
        <f>VLOOKUP(C39,seqConcatenated!$A$1:$B$124,2, FALSE)</f>
        <v>MT119464 and MT119558 are merged</v>
      </c>
      <c r="N39" s="2" t="str">
        <f>IF(ISNA(Table1[[#This Row],[Column2]]),Table1[[#This Row],[comments2]], IF(O39="NA",M39,_xlfn.CONCAT(O39,"--",M39)))</f>
        <v>MT119464 and MT119558 are merged</v>
      </c>
      <c r="O39" s="2" t="s">
        <v>39</v>
      </c>
      <c r="P39" s="2" t="s">
        <v>40</v>
      </c>
      <c r="Q39" s="2" t="s">
        <v>41</v>
      </c>
      <c r="S39" s="2" t="s">
        <v>42</v>
      </c>
      <c r="T39" s="2" t="s">
        <v>43</v>
      </c>
      <c r="U39" s="2" t="s">
        <v>44</v>
      </c>
      <c r="V39" s="2" t="s">
        <v>45</v>
      </c>
      <c r="W39" s="2">
        <v>735</v>
      </c>
      <c r="X39" s="2" t="s">
        <v>46</v>
      </c>
      <c r="Y39" s="2" t="s">
        <v>47</v>
      </c>
      <c r="AA39" s="2" t="s">
        <v>48</v>
      </c>
      <c r="AB39" s="2">
        <v>1</v>
      </c>
      <c r="AC39" s="2" t="s">
        <v>49</v>
      </c>
      <c r="AD39" s="2" t="s">
        <v>50</v>
      </c>
      <c r="AE39" s="4">
        <v>10.216833299999999</v>
      </c>
      <c r="AF39" s="4">
        <v>-10.6887667</v>
      </c>
      <c r="AG39" s="2" t="s">
        <v>51</v>
      </c>
      <c r="AI39" s="2" t="s">
        <v>52</v>
      </c>
      <c r="AJ39" s="2" t="str">
        <f>IF(Table1[[#This Row],[Host]]="Mastomys natalensis", "Mn", IF(Table1[[#This Row],[Host]]="Homo Sapiens","Human","PROBLEMMEMEMMEMEMEMM"))</f>
        <v>Mn</v>
      </c>
      <c r="AK39" s="2" t="s">
        <v>53</v>
      </c>
      <c r="AL39" s="5">
        <v>42139</v>
      </c>
      <c r="AM39" s="6" t="s">
        <v>1045</v>
      </c>
      <c r="AO39" s="2" t="s">
        <v>147</v>
      </c>
    </row>
    <row r="40" spans="1:41" x14ac:dyDescent="0.3">
      <c r="A40" s="2">
        <v>188</v>
      </c>
      <c r="B40" s="2" t="str">
        <f>_xlfn.CONCAT(Table1[[#This Row],[Acession_no_.1]],"|",Table1[[#This Row],[Strain name]],"|",Table1[[#This Row],[host_simple]],"|",Table1[[#This Row],[Country]],"|",Table1[[#This Row],[date_text]])</f>
        <v>MN123657|Bri08|Mn|Guinea|2013-12-14</v>
      </c>
      <c r="C40" s="2" t="s">
        <v>1253</v>
      </c>
      <c r="D40" s="2" t="str">
        <f>IF(ISNUMBER(MATCH(B40,finalSelection!$A$1:$A$497,0)),"yes","no")</f>
        <v>yes</v>
      </c>
      <c r="E40" s="2" t="s">
        <v>805</v>
      </c>
      <c r="F40" s="2" t="s">
        <v>148</v>
      </c>
      <c r="H40" s="2" t="s">
        <v>149</v>
      </c>
      <c r="I40" s="2" t="s">
        <v>36</v>
      </c>
      <c r="J40" s="2" t="s">
        <v>37</v>
      </c>
      <c r="K40" s="2" t="s">
        <v>38</v>
      </c>
      <c r="L40" s="2" t="s">
        <v>37</v>
      </c>
      <c r="M40" s="2" t="str">
        <f>VLOOKUP(C40,seqConcatenated!$A$1:$B$124,2, FALSE)</f>
        <v>MN123657 and KT833205 are merged</v>
      </c>
      <c r="N40" s="2" t="str">
        <f>IF(ISNA(Table1[[#This Row],[Column2]]),Table1[[#This Row],[comments2]], IF(O40="NA",M40,_xlfn.CONCAT(O40,"--",M40)))</f>
        <v>MN123657 and KT833205 are merged</v>
      </c>
      <c r="O40" s="2" t="s">
        <v>39</v>
      </c>
      <c r="P40" s="2" t="s">
        <v>150</v>
      </c>
      <c r="Q40" s="2" t="s">
        <v>151</v>
      </c>
      <c r="S40" s="2" t="s">
        <v>42</v>
      </c>
      <c r="T40" s="2" t="s">
        <v>43</v>
      </c>
      <c r="U40" s="2" t="s">
        <v>44</v>
      </c>
      <c r="V40" s="2" t="s">
        <v>45</v>
      </c>
      <c r="W40" s="2">
        <v>888</v>
      </c>
      <c r="X40" s="2" t="s">
        <v>46</v>
      </c>
      <c r="Y40" s="2" t="s">
        <v>47</v>
      </c>
      <c r="AA40" s="2" t="s">
        <v>48</v>
      </c>
      <c r="AB40" s="2">
        <v>1</v>
      </c>
      <c r="AC40" s="2" t="s">
        <v>49</v>
      </c>
      <c r="AD40" s="2" t="s">
        <v>50</v>
      </c>
      <c r="AE40" s="4">
        <v>10.216833299999999</v>
      </c>
      <c r="AF40" s="4">
        <v>-10.6887667</v>
      </c>
      <c r="AG40" s="2" t="s">
        <v>51</v>
      </c>
      <c r="AI40" s="2" t="s">
        <v>52</v>
      </c>
      <c r="AJ40" s="2" t="str">
        <f>IF(Table1[[#This Row],[Host]]="Mastomys natalensis", "Mn", IF(Table1[[#This Row],[Host]]="Homo Sapiens","Human","PROBLEMMEMEMMEMEMEMM"))</f>
        <v>Mn</v>
      </c>
      <c r="AK40" s="2" t="s">
        <v>53</v>
      </c>
      <c r="AL40" s="5">
        <v>41622</v>
      </c>
      <c r="AM40" s="6" t="s">
        <v>1046</v>
      </c>
      <c r="AO40" s="2" t="s">
        <v>152</v>
      </c>
    </row>
    <row r="41" spans="1:41" x14ac:dyDescent="0.3">
      <c r="A41" s="2">
        <v>301</v>
      </c>
      <c r="B41" s="2" t="str">
        <f>_xlfn.CONCAT(Table1[[#This Row],[Acession_no_.1]],"|",Table1[[#This Row],[Strain name]],"|",Table1[[#This Row],[host_simple]],"|",Table1[[#This Row],[Country]],"|",Table1[[#This Row],[date_text]])</f>
        <v>KT833205|Bri08|Mn|Guinea|2013-12-14</v>
      </c>
      <c r="C41" s="2" t="s">
        <v>1253</v>
      </c>
      <c r="D41" s="2" t="str">
        <f>IF(ISNUMBER(MATCH(B41,finalSelection!$A$1:$A$497,0)),"yes","no")</f>
        <v>no</v>
      </c>
      <c r="E41" s="2" t="s">
        <v>806</v>
      </c>
      <c r="F41" s="2" t="s">
        <v>153</v>
      </c>
      <c r="H41" s="2" t="s">
        <v>149</v>
      </c>
      <c r="I41" s="2" t="s">
        <v>56</v>
      </c>
      <c r="J41" s="2" t="s">
        <v>154</v>
      </c>
      <c r="K41" s="2" t="s">
        <v>38</v>
      </c>
      <c r="L41" s="2" t="s">
        <v>37</v>
      </c>
      <c r="M41" s="2" t="str">
        <f>VLOOKUP(C41,seqConcatenated!$A$1:$B$124,2, FALSE)</f>
        <v>MN123657 and KT833205 are merged</v>
      </c>
      <c r="N41" s="2" t="str">
        <f>IF(ISNA(Table1[[#This Row],[Column2]]),Table1[[#This Row],[comments2]], IF(O41="NA",M41,_xlfn.CONCAT(O41,"--",M41)))</f>
        <v>MN123657 and KT833205 are merged</v>
      </c>
      <c r="O41" s="2" t="s">
        <v>39</v>
      </c>
      <c r="P41" s="2" t="s">
        <v>155</v>
      </c>
      <c r="Q41" s="2" t="s">
        <v>156</v>
      </c>
      <c r="S41" s="2" t="s">
        <v>42</v>
      </c>
      <c r="T41" s="2" t="s">
        <v>43</v>
      </c>
      <c r="U41" s="2" t="s">
        <v>44</v>
      </c>
      <c r="V41" s="2" t="s">
        <v>45</v>
      </c>
      <c r="W41" s="2">
        <v>754</v>
      </c>
      <c r="X41" s="2" t="s">
        <v>46</v>
      </c>
      <c r="Y41" s="2" t="s">
        <v>47</v>
      </c>
      <c r="AA41" s="2" t="s">
        <v>48</v>
      </c>
      <c r="AB41" s="2">
        <v>1</v>
      </c>
      <c r="AC41" s="2" t="s">
        <v>49</v>
      </c>
      <c r="AD41" s="2" t="s">
        <v>50</v>
      </c>
      <c r="AE41" s="4">
        <v>10.216833299999999</v>
      </c>
      <c r="AF41" s="4">
        <v>-10.6887667</v>
      </c>
      <c r="AG41" s="2" t="s">
        <v>51</v>
      </c>
      <c r="AI41" s="2" t="s">
        <v>52</v>
      </c>
      <c r="AJ41" s="2" t="str">
        <f>IF(Table1[[#This Row],[Host]]="Mastomys natalensis", "Mn", IF(Table1[[#This Row],[Host]]="Homo Sapiens","Human","PROBLEMMEMEMMEMEMEMM"))</f>
        <v>Mn</v>
      </c>
      <c r="AK41" s="2" t="s">
        <v>53</v>
      </c>
      <c r="AL41" s="5">
        <v>41622</v>
      </c>
      <c r="AM41" s="6" t="s">
        <v>1046</v>
      </c>
      <c r="AO41" s="2" t="s">
        <v>157</v>
      </c>
    </row>
    <row r="42" spans="1:41" x14ac:dyDescent="0.3">
      <c r="A42" s="2">
        <v>189</v>
      </c>
      <c r="B42" s="2" t="str">
        <f>_xlfn.CONCAT(Table1[[#This Row],[Acession_no_.1]],"|",Table1[[#This Row],[Strain name]],"|",Table1[[#This Row],[host_simple]],"|",Table1[[#This Row],[Country]],"|",Table1[[#This Row],[date_text]])</f>
        <v>MN123658|Bri39|Mn|Guinea|2013-12-16</v>
      </c>
      <c r="C42" s="2" t="s">
        <v>1254</v>
      </c>
      <c r="D42" s="2" t="str">
        <f>IF(ISNUMBER(MATCH(B42,finalSelection!$A$1:$A$497,0)),"yes","no")</f>
        <v>yes</v>
      </c>
      <c r="E42" s="2" t="s">
        <v>807</v>
      </c>
      <c r="F42" s="2" t="s">
        <v>158</v>
      </c>
      <c r="H42" s="2" t="s">
        <v>159</v>
      </c>
      <c r="I42" s="2" t="s">
        <v>36</v>
      </c>
      <c r="J42" s="2" t="s">
        <v>37</v>
      </c>
      <c r="K42" s="2" t="s">
        <v>38</v>
      </c>
      <c r="L42" s="2" t="s">
        <v>37</v>
      </c>
      <c r="M42" s="2" t="str">
        <f>VLOOKUP(C42,seqConcatenated!$A$1:$B$124,2, FALSE)</f>
        <v>MN123658 and KT833206 are merged</v>
      </c>
      <c r="N42" s="2" t="str">
        <f>IF(ISNA(Table1[[#This Row],[Column2]]),Table1[[#This Row],[comments2]], IF(O42="NA",M42,_xlfn.CONCAT(O42,"--",M42)))</f>
        <v>MN123658 and KT833206 are merged</v>
      </c>
      <c r="O42" s="2" t="s">
        <v>39</v>
      </c>
      <c r="P42" s="2" t="s">
        <v>150</v>
      </c>
      <c r="Q42" s="2" t="s">
        <v>151</v>
      </c>
      <c r="S42" s="2" t="s">
        <v>42</v>
      </c>
      <c r="T42" s="2" t="s">
        <v>43</v>
      </c>
      <c r="U42" s="2" t="s">
        <v>44</v>
      </c>
      <c r="V42" s="2" t="s">
        <v>45</v>
      </c>
      <c r="W42" s="2">
        <v>888</v>
      </c>
      <c r="X42" s="2" t="s">
        <v>46</v>
      </c>
      <c r="Y42" s="2" t="s">
        <v>47</v>
      </c>
      <c r="AA42" s="2" t="s">
        <v>48</v>
      </c>
      <c r="AB42" s="2">
        <v>1</v>
      </c>
      <c r="AC42" s="2" t="s">
        <v>49</v>
      </c>
      <c r="AD42" s="2" t="s">
        <v>50</v>
      </c>
      <c r="AE42" s="4">
        <v>10.216833299999999</v>
      </c>
      <c r="AF42" s="4">
        <v>-10.6887667</v>
      </c>
      <c r="AG42" s="2" t="s">
        <v>51</v>
      </c>
      <c r="AI42" s="2" t="s">
        <v>52</v>
      </c>
      <c r="AJ42" s="2" t="str">
        <f>IF(Table1[[#This Row],[Host]]="Mastomys natalensis", "Mn", IF(Table1[[#This Row],[Host]]="Homo Sapiens","Human","PROBLEMMEMEMMEMEMEMM"))</f>
        <v>Mn</v>
      </c>
      <c r="AK42" s="2" t="s">
        <v>53</v>
      </c>
      <c r="AL42" s="5">
        <v>41624</v>
      </c>
      <c r="AM42" s="6" t="s">
        <v>1047</v>
      </c>
      <c r="AO42" s="2" t="s">
        <v>160</v>
      </c>
    </row>
    <row r="43" spans="1:41" x14ac:dyDescent="0.3">
      <c r="A43" s="2">
        <v>302</v>
      </c>
      <c r="B43" s="2" t="str">
        <f>_xlfn.CONCAT(Table1[[#This Row],[Acession_no_.1]],"|",Table1[[#This Row],[Strain name]],"|",Table1[[#This Row],[host_simple]],"|",Table1[[#This Row],[Country]],"|",Table1[[#This Row],[date_text]])</f>
        <v>KT833206|Bri39|Mn|Guinea|2013-12-16</v>
      </c>
      <c r="C43" s="2" t="s">
        <v>1254</v>
      </c>
      <c r="D43" s="2" t="str">
        <f>IF(ISNUMBER(MATCH(B43,finalSelection!$A$1:$A$497,0)),"yes","no")</f>
        <v>no</v>
      </c>
      <c r="E43" s="2" t="s">
        <v>808</v>
      </c>
      <c r="F43" s="2" t="s">
        <v>161</v>
      </c>
      <c r="H43" s="2" t="s">
        <v>159</v>
      </c>
      <c r="I43" s="2" t="s">
        <v>56</v>
      </c>
      <c r="J43" s="2" t="s">
        <v>154</v>
      </c>
      <c r="K43" s="2" t="s">
        <v>38</v>
      </c>
      <c r="L43" s="2" t="s">
        <v>37</v>
      </c>
      <c r="M43" s="2" t="str">
        <f>VLOOKUP(C43,seqConcatenated!$A$1:$B$124,2, FALSE)</f>
        <v>MN123658 and KT833206 are merged</v>
      </c>
      <c r="N43" s="2" t="str">
        <f>IF(ISNA(Table1[[#This Row],[Column2]]),Table1[[#This Row],[comments2]], IF(O43="NA",M43,_xlfn.CONCAT(O43,"--",M43)))</f>
        <v>MN123658 and KT833206 are merged</v>
      </c>
      <c r="O43" s="2" t="s">
        <v>39</v>
      </c>
      <c r="P43" s="2" t="s">
        <v>155</v>
      </c>
      <c r="Q43" s="2" t="s">
        <v>156</v>
      </c>
      <c r="S43" s="2" t="s">
        <v>42</v>
      </c>
      <c r="T43" s="2" t="s">
        <v>43</v>
      </c>
      <c r="U43" s="2" t="s">
        <v>44</v>
      </c>
      <c r="V43" s="2" t="s">
        <v>45</v>
      </c>
      <c r="W43" s="2">
        <v>754</v>
      </c>
      <c r="X43" s="2" t="s">
        <v>46</v>
      </c>
      <c r="Y43" s="2" t="s">
        <v>47</v>
      </c>
      <c r="AA43" s="2" t="s">
        <v>48</v>
      </c>
      <c r="AB43" s="2">
        <v>1</v>
      </c>
      <c r="AC43" s="2" t="s">
        <v>49</v>
      </c>
      <c r="AD43" s="2" t="s">
        <v>50</v>
      </c>
      <c r="AE43" s="4">
        <v>10.216833299999999</v>
      </c>
      <c r="AF43" s="4">
        <v>-10.6887667</v>
      </c>
      <c r="AG43" s="2" t="s">
        <v>51</v>
      </c>
      <c r="AI43" s="2" t="s">
        <v>52</v>
      </c>
      <c r="AJ43" s="2" t="str">
        <f>IF(Table1[[#This Row],[Host]]="Mastomys natalensis", "Mn", IF(Table1[[#This Row],[Host]]="Homo Sapiens","Human","PROBLEMMEMEMMEMEMEMM"))</f>
        <v>Mn</v>
      </c>
      <c r="AK43" s="2" t="s">
        <v>53</v>
      </c>
      <c r="AL43" s="5">
        <v>41624</v>
      </c>
      <c r="AM43" s="6" t="s">
        <v>1047</v>
      </c>
      <c r="AO43" s="2" t="s">
        <v>162</v>
      </c>
    </row>
    <row r="44" spans="1:41" x14ac:dyDescent="0.3">
      <c r="A44" s="2">
        <v>23</v>
      </c>
      <c r="B44" s="2" t="str">
        <f>_xlfn.CONCAT(Table1[[#This Row],[Acession_no_.1]],"|",Table1[[#This Row],[Strain name]],"|",Table1[[#This Row],[host_simple]],"|",Table1[[#This Row],[Country]],"|",Table1[[#This Row],[date_text]])</f>
        <v>MT119482|Dal-10|Mn|Guinea|2013-11-28</v>
      </c>
      <c r="C44" s="2" t="s">
        <v>1255</v>
      </c>
      <c r="D44" s="2" t="str">
        <f>IF(ISNUMBER(MATCH(B44,finalSelection!$A$1:$A$497,0)),"yes","no")</f>
        <v>no</v>
      </c>
      <c r="E44" s="2" t="s">
        <v>809</v>
      </c>
      <c r="F44" s="2" t="s">
        <v>163</v>
      </c>
      <c r="H44" s="2" t="s">
        <v>164</v>
      </c>
      <c r="I44" s="2" t="s">
        <v>36</v>
      </c>
      <c r="J44" s="2" t="s">
        <v>37</v>
      </c>
      <c r="K44" s="2" t="s">
        <v>38</v>
      </c>
      <c r="L44" s="2" t="s">
        <v>37</v>
      </c>
      <c r="M44" s="2" t="e">
        <f>VLOOKUP(C44,seqConcatenated!$A$1:$B$124,2, FALSE)</f>
        <v>#N/A</v>
      </c>
      <c r="N44" s="2" t="str">
        <f>IF(ISNA(Table1[[#This Row],[Column2]]),Table1[[#This Row],[comments2]], IF(O44="NA",M44,_xlfn.CONCAT(O44,"--",M44)))</f>
        <v>NA</v>
      </c>
      <c r="O44" s="2" t="s">
        <v>39</v>
      </c>
      <c r="P44" s="2" t="s">
        <v>40</v>
      </c>
      <c r="Q44" s="2" t="s">
        <v>41</v>
      </c>
      <c r="S44" s="2" t="s">
        <v>42</v>
      </c>
      <c r="T44" s="2" t="s">
        <v>43</v>
      </c>
      <c r="U44" s="2" t="s">
        <v>44</v>
      </c>
      <c r="V44" s="2" t="s">
        <v>45</v>
      </c>
      <c r="W44" s="2">
        <v>888</v>
      </c>
      <c r="X44" s="2" t="s">
        <v>46</v>
      </c>
      <c r="Y44" s="2" t="s">
        <v>47</v>
      </c>
      <c r="AA44" s="2" t="s">
        <v>48</v>
      </c>
      <c r="AB44" s="2">
        <v>1</v>
      </c>
      <c r="AC44" s="2" t="s">
        <v>165</v>
      </c>
      <c r="AD44" s="2" t="s">
        <v>50</v>
      </c>
      <c r="AE44" s="4">
        <v>10.1431667</v>
      </c>
      <c r="AF44" s="4">
        <v>-10.60505</v>
      </c>
      <c r="AG44" s="2" t="s">
        <v>51</v>
      </c>
      <c r="AI44" s="2" t="s">
        <v>52</v>
      </c>
      <c r="AJ44" s="2" t="str">
        <f>IF(Table1[[#This Row],[Host]]="Mastomys natalensis", "Mn", IF(Table1[[#This Row],[Host]]="Homo Sapiens","Human","PROBLEMMEMEMMEMEMEMM"))</f>
        <v>Mn</v>
      </c>
      <c r="AK44" s="2" t="s">
        <v>53</v>
      </c>
      <c r="AL44" s="5">
        <v>41606</v>
      </c>
      <c r="AM44" s="6" t="s">
        <v>1048</v>
      </c>
      <c r="AO44" s="2" t="s">
        <v>166</v>
      </c>
    </row>
    <row r="45" spans="1:41" x14ac:dyDescent="0.3">
      <c r="A45" s="2">
        <v>34</v>
      </c>
      <c r="B45" s="2" t="str">
        <f>_xlfn.CONCAT(Table1[[#This Row],[Acession_no_.1]],"|",Table1[[#This Row],[Strain name]],"|",Table1[[#This Row],[host_simple]],"|",Table1[[#This Row],[Country]],"|",Table1[[#This Row],[date_text]])</f>
        <v>MT119493|Dal-100|Mn|Guinea|2016-01-16</v>
      </c>
      <c r="C45" s="2" t="s">
        <v>1256</v>
      </c>
      <c r="D45" s="2" t="str">
        <f>IF(ISNUMBER(MATCH(B45,finalSelection!$A$1:$A$497,0)),"yes","no")</f>
        <v>yes</v>
      </c>
      <c r="E45" s="2" t="s">
        <v>810</v>
      </c>
      <c r="F45" s="2" t="s">
        <v>167</v>
      </c>
      <c r="H45" s="2" t="s">
        <v>168</v>
      </c>
      <c r="I45" s="2" t="s">
        <v>36</v>
      </c>
      <c r="J45" s="2" t="s">
        <v>37</v>
      </c>
      <c r="K45" s="2" t="s">
        <v>38</v>
      </c>
      <c r="L45" s="2" t="s">
        <v>37</v>
      </c>
      <c r="M45" s="2" t="str">
        <f>VLOOKUP(C45,seqConcatenated!$A$1:$B$124,2, FALSE)</f>
        <v>MT119493 and MT119585 are merged</v>
      </c>
      <c r="N45" s="2" t="str">
        <f>IF(ISNA(Table1[[#This Row],[Column2]]),Table1[[#This Row],[comments2]], IF(O45="NA",M45,_xlfn.CONCAT(O45,"--",M45)))</f>
        <v>MT119493 and MT119585 are merged</v>
      </c>
      <c r="O45" s="2" t="s">
        <v>39</v>
      </c>
      <c r="P45" s="2" t="s">
        <v>40</v>
      </c>
      <c r="Q45" s="2" t="s">
        <v>41</v>
      </c>
      <c r="S45" s="2" t="s">
        <v>42</v>
      </c>
      <c r="T45" s="2" t="s">
        <v>43</v>
      </c>
      <c r="U45" s="2" t="s">
        <v>44</v>
      </c>
      <c r="V45" s="2" t="s">
        <v>45</v>
      </c>
      <c r="W45" s="2">
        <v>888</v>
      </c>
      <c r="X45" s="2" t="s">
        <v>46</v>
      </c>
      <c r="Y45" s="2" t="s">
        <v>47</v>
      </c>
      <c r="AA45" s="2" t="s">
        <v>48</v>
      </c>
      <c r="AB45" s="2">
        <v>1</v>
      </c>
      <c r="AC45" s="2" t="s">
        <v>165</v>
      </c>
      <c r="AD45" s="2" t="s">
        <v>50</v>
      </c>
      <c r="AE45" s="4">
        <v>10.1431667</v>
      </c>
      <c r="AF45" s="4">
        <v>-10.60505</v>
      </c>
      <c r="AG45" s="2" t="s">
        <v>51</v>
      </c>
      <c r="AI45" s="2" t="s">
        <v>52</v>
      </c>
      <c r="AJ45" s="2" t="str">
        <f>IF(Table1[[#This Row],[Host]]="Mastomys natalensis", "Mn", IF(Table1[[#This Row],[Host]]="Homo Sapiens","Human","PROBLEMMEMEMMEMEMEMM"))</f>
        <v>Mn</v>
      </c>
      <c r="AK45" s="2" t="s">
        <v>53</v>
      </c>
      <c r="AL45" s="5">
        <v>42385</v>
      </c>
      <c r="AM45" s="6" t="s">
        <v>1049</v>
      </c>
      <c r="AO45" s="2" t="s">
        <v>169</v>
      </c>
    </row>
    <row r="46" spans="1:41" x14ac:dyDescent="0.3">
      <c r="A46" s="2">
        <v>126</v>
      </c>
      <c r="B46" s="2" t="str">
        <f>_xlfn.CONCAT(Table1[[#This Row],[Acession_no_.1]],"|",Table1[[#This Row],[Strain name]],"|",Table1[[#This Row],[host_simple]],"|",Table1[[#This Row],[Country]],"|",Table1[[#This Row],[date_text]])</f>
        <v>MT119585|Dal-100|Mn|Guinea|2016-01-16</v>
      </c>
      <c r="C46" s="2" t="s">
        <v>1256</v>
      </c>
      <c r="D46" s="2" t="str">
        <f>IF(ISNUMBER(MATCH(B46,finalSelection!$A$1:$A$497,0)),"yes","no")</f>
        <v>no</v>
      </c>
      <c r="E46" s="2" t="s">
        <v>811</v>
      </c>
      <c r="F46" s="2" t="s">
        <v>170</v>
      </c>
      <c r="H46" s="2" t="s">
        <v>168</v>
      </c>
      <c r="I46" s="2" t="s">
        <v>56</v>
      </c>
      <c r="J46" s="2" t="s">
        <v>37</v>
      </c>
      <c r="K46" s="2" t="s">
        <v>38</v>
      </c>
      <c r="L46" s="2" t="s">
        <v>37</v>
      </c>
      <c r="M46" s="2" t="str">
        <f>VLOOKUP(C46,seqConcatenated!$A$1:$B$124,2, FALSE)</f>
        <v>MT119493 and MT119585 are merged</v>
      </c>
      <c r="N46" s="2" t="str">
        <f>IF(ISNA(Table1[[#This Row],[Column2]]),Table1[[#This Row],[comments2]], IF(O46="NA",M46,_xlfn.CONCAT(O46,"--",M46)))</f>
        <v>MT119493 and MT119585 are merged</v>
      </c>
      <c r="O46" s="2" t="s">
        <v>39</v>
      </c>
      <c r="P46" s="2" t="s">
        <v>40</v>
      </c>
      <c r="Q46" s="2" t="s">
        <v>41</v>
      </c>
      <c r="S46" s="2" t="s">
        <v>42</v>
      </c>
      <c r="T46" s="2" t="s">
        <v>43</v>
      </c>
      <c r="U46" s="2" t="s">
        <v>44</v>
      </c>
      <c r="V46" s="2" t="s">
        <v>45</v>
      </c>
      <c r="W46" s="2">
        <v>735</v>
      </c>
      <c r="X46" s="2" t="s">
        <v>46</v>
      </c>
      <c r="Y46" s="2" t="s">
        <v>47</v>
      </c>
      <c r="AA46" s="2" t="s">
        <v>48</v>
      </c>
      <c r="AB46" s="2">
        <v>1</v>
      </c>
      <c r="AC46" s="2" t="s">
        <v>165</v>
      </c>
      <c r="AD46" s="2" t="s">
        <v>50</v>
      </c>
      <c r="AE46" s="4">
        <v>10.1431667</v>
      </c>
      <c r="AF46" s="4">
        <v>-10.60505</v>
      </c>
      <c r="AG46" s="2" t="s">
        <v>51</v>
      </c>
      <c r="AI46" s="2" t="s">
        <v>52</v>
      </c>
      <c r="AJ46" s="2" t="str">
        <f>IF(Table1[[#This Row],[Host]]="Mastomys natalensis", "Mn", IF(Table1[[#This Row],[Host]]="Homo Sapiens","Human","PROBLEMMEMEMMEMEMEMM"))</f>
        <v>Mn</v>
      </c>
      <c r="AK46" s="2" t="s">
        <v>53</v>
      </c>
      <c r="AL46" s="5">
        <v>42385</v>
      </c>
      <c r="AM46" s="6" t="s">
        <v>1049</v>
      </c>
      <c r="AO46" s="2" t="s">
        <v>171</v>
      </c>
    </row>
    <row r="47" spans="1:41" x14ac:dyDescent="0.3">
      <c r="A47" s="2">
        <v>35</v>
      </c>
      <c r="B47" s="2" t="str">
        <f>_xlfn.CONCAT(Table1[[#This Row],[Acession_no_.1]],"|",Table1[[#This Row],[Strain name]],"|",Table1[[#This Row],[host_simple]],"|",Table1[[#This Row],[Country]],"|",Table1[[#This Row],[date_text]])</f>
        <v>MT119494|Dal-107|Mn|Guinea|2016-01-17</v>
      </c>
      <c r="C47" s="2" t="s">
        <v>1257</v>
      </c>
      <c r="D47" s="2" t="str">
        <f>IF(ISNUMBER(MATCH(B47,finalSelection!$A$1:$A$497,0)),"yes","no")</f>
        <v>no</v>
      </c>
      <c r="E47" s="2" t="s">
        <v>812</v>
      </c>
      <c r="F47" s="2" t="s">
        <v>172</v>
      </c>
      <c r="H47" s="2" t="s">
        <v>173</v>
      </c>
      <c r="I47" s="2" t="s">
        <v>36</v>
      </c>
      <c r="J47" s="2" t="s">
        <v>37</v>
      </c>
      <c r="K47" s="2" t="s">
        <v>38</v>
      </c>
      <c r="L47" s="2" t="s">
        <v>37</v>
      </c>
      <c r="M47" s="2" t="str">
        <f>VLOOKUP(C47,seqConcatenated!$A$1:$B$124,2, FALSE)</f>
        <v>MT119494 and MT119586 are merged</v>
      </c>
      <c r="N47" s="2" t="str">
        <f>IF(ISNA(Table1[[#This Row],[Column2]]),Table1[[#This Row],[comments2]], IF(O47="NA",M47,_xlfn.CONCAT(O47,"--",M47)))</f>
        <v>MT119494 and MT119586 are merged</v>
      </c>
      <c r="O47" s="2" t="s">
        <v>39</v>
      </c>
      <c r="P47" s="2" t="s">
        <v>40</v>
      </c>
      <c r="Q47" s="2" t="s">
        <v>41</v>
      </c>
      <c r="S47" s="2" t="s">
        <v>42</v>
      </c>
      <c r="T47" s="2" t="s">
        <v>43</v>
      </c>
      <c r="U47" s="2" t="s">
        <v>44</v>
      </c>
      <c r="V47" s="2" t="s">
        <v>45</v>
      </c>
      <c r="W47" s="2">
        <v>888</v>
      </c>
      <c r="X47" s="2" t="s">
        <v>46</v>
      </c>
      <c r="Y47" s="2" t="s">
        <v>47</v>
      </c>
      <c r="AA47" s="2" t="s">
        <v>48</v>
      </c>
      <c r="AB47" s="2">
        <v>1</v>
      </c>
      <c r="AC47" s="2" t="s">
        <v>165</v>
      </c>
      <c r="AD47" s="2" t="s">
        <v>50</v>
      </c>
      <c r="AE47" s="4">
        <v>10.1431667</v>
      </c>
      <c r="AF47" s="4">
        <v>-10.60505</v>
      </c>
      <c r="AG47" s="2" t="s">
        <v>51</v>
      </c>
      <c r="AI47" s="2" t="s">
        <v>52</v>
      </c>
      <c r="AJ47" s="2" t="str">
        <f>IF(Table1[[#This Row],[Host]]="Mastomys natalensis", "Mn", IF(Table1[[#This Row],[Host]]="Homo Sapiens","Human","PROBLEMMEMEMMEMEMEMM"))</f>
        <v>Mn</v>
      </c>
      <c r="AK47" s="2" t="s">
        <v>53</v>
      </c>
      <c r="AL47" s="5">
        <v>42386</v>
      </c>
      <c r="AM47" s="6" t="s">
        <v>1050</v>
      </c>
      <c r="AO47" s="2" t="s">
        <v>174</v>
      </c>
    </row>
    <row r="48" spans="1:41" x14ac:dyDescent="0.3">
      <c r="A48" s="2">
        <v>127</v>
      </c>
      <c r="B48" s="2" t="str">
        <f>_xlfn.CONCAT(Table1[[#This Row],[Acession_no_.1]],"|",Table1[[#This Row],[Strain name]],"|",Table1[[#This Row],[host_simple]],"|",Table1[[#This Row],[Country]],"|",Table1[[#This Row],[date_text]])</f>
        <v>MT119586|Dal-107|Mn|Guinea|2016-01-17</v>
      </c>
      <c r="C48" s="2" t="s">
        <v>1257</v>
      </c>
      <c r="D48" s="2" t="str">
        <f>IF(ISNUMBER(MATCH(B48,finalSelection!$A$1:$A$497,0)),"yes","no")</f>
        <v>no</v>
      </c>
      <c r="E48" s="2" t="s">
        <v>813</v>
      </c>
      <c r="F48" s="2" t="s">
        <v>175</v>
      </c>
      <c r="H48" s="2" t="s">
        <v>173</v>
      </c>
      <c r="I48" s="2" t="s">
        <v>56</v>
      </c>
      <c r="J48" s="2" t="s">
        <v>37</v>
      </c>
      <c r="K48" s="2" t="s">
        <v>38</v>
      </c>
      <c r="L48" s="2" t="s">
        <v>37</v>
      </c>
      <c r="M48" s="2" t="str">
        <f>VLOOKUP(C48,seqConcatenated!$A$1:$B$124,2, FALSE)</f>
        <v>MT119494 and MT119586 are merged</v>
      </c>
      <c r="N48" s="2" t="str">
        <f>IF(ISNA(Table1[[#This Row],[Column2]]),Table1[[#This Row],[comments2]], IF(O48="NA",M48,_xlfn.CONCAT(O48,"--",M48)))</f>
        <v>MT119494 and MT119586 are merged</v>
      </c>
      <c r="O48" s="2" t="s">
        <v>39</v>
      </c>
      <c r="P48" s="2" t="s">
        <v>40</v>
      </c>
      <c r="Q48" s="2" t="s">
        <v>41</v>
      </c>
      <c r="S48" s="2" t="s">
        <v>42</v>
      </c>
      <c r="T48" s="2" t="s">
        <v>43</v>
      </c>
      <c r="U48" s="2" t="s">
        <v>44</v>
      </c>
      <c r="V48" s="2" t="s">
        <v>45</v>
      </c>
      <c r="W48" s="2">
        <v>735</v>
      </c>
      <c r="X48" s="2" t="s">
        <v>46</v>
      </c>
      <c r="Y48" s="2" t="s">
        <v>47</v>
      </c>
      <c r="AA48" s="2" t="s">
        <v>48</v>
      </c>
      <c r="AB48" s="2">
        <v>1</v>
      </c>
      <c r="AC48" s="2" t="s">
        <v>165</v>
      </c>
      <c r="AD48" s="2" t="s">
        <v>50</v>
      </c>
      <c r="AE48" s="4">
        <v>10.1431667</v>
      </c>
      <c r="AF48" s="4">
        <v>-10.60505</v>
      </c>
      <c r="AG48" s="2" t="s">
        <v>51</v>
      </c>
      <c r="AI48" s="2" t="s">
        <v>52</v>
      </c>
      <c r="AJ48" s="2" t="str">
        <f>IF(Table1[[#This Row],[Host]]="Mastomys natalensis", "Mn", IF(Table1[[#This Row],[Host]]="Homo Sapiens","Human","PROBLEMMEMEMMEMEMEMM"))</f>
        <v>Mn</v>
      </c>
      <c r="AK48" s="2" t="s">
        <v>53</v>
      </c>
      <c r="AL48" s="5">
        <v>42386</v>
      </c>
      <c r="AM48" s="6" t="s">
        <v>1050</v>
      </c>
      <c r="AO48" s="2" t="s">
        <v>176</v>
      </c>
    </row>
    <row r="49" spans="1:41" x14ac:dyDescent="0.3">
      <c r="A49" s="2">
        <v>36</v>
      </c>
      <c r="B49" s="2" t="str">
        <f>_xlfn.CONCAT(Table1[[#This Row],[Acession_no_.1]],"|",Table1[[#This Row],[Strain name]],"|",Table1[[#This Row],[host_simple]],"|",Table1[[#This Row],[Country]],"|",Table1[[#This Row],[date_text]])</f>
        <v>MT119495|Dal-109|Mn|Guinea|2016-01-17</v>
      </c>
      <c r="C49" s="2" t="s">
        <v>1258</v>
      </c>
      <c r="D49" s="2" t="str">
        <f>IF(ISNUMBER(MATCH(B49,finalSelection!$A$1:$A$497,0)),"yes","no")</f>
        <v>yes</v>
      </c>
      <c r="E49" s="2" t="s">
        <v>814</v>
      </c>
      <c r="F49" s="2" t="s">
        <v>177</v>
      </c>
      <c r="H49" s="2" t="s">
        <v>178</v>
      </c>
      <c r="I49" s="2" t="s">
        <v>36</v>
      </c>
      <c r="J49" s="2" t="s">
        <v>37</v>
      </c>
      <c r="K49" s="2" t="s">
        <v>38</v>
      </c>
      <c r="L49" s="2" t="s">
        <v>37</v>
      </c>
      <c r="M49" s="2" t="str">
        <f>VLOOKUP(C49,seqConcatenated!$A$1:$B$124,2, FALSE)</f>
        <v>MT119495 and MT119587 are merged</v>
      </c>
      <c r="N49" s="2" t="str">
        <f>IF(ISNA(Table1[[#This Row],[Column2]]),Table1[[#This Row],[comments2]], IF(O49="NA",M49,_xlfn.CONCAT(O49,"--",M49)))</f>
        <v>MT119495 and MT119587 are merged</v>
      </c>
      <c r="O49" s="2" t="s">
        <v>39</v>
      </c>
      <c r="P49" s="2" t="s">
        <v>40</v>
      </c>
      <c r="Q49" s="2" t="s">
        <v>41</v>
      </c>
      <c r="S49" s="2" t="s">
        <v>42</v>
      </c>
      <c r="T49" s="2" t="s">
        <v>43</v>
      </c>
      <c r="U49" s="2" t="s">
        <v>44</v>
      </c>
      <c r="V49" s="2" t="s">
        <v>45</v>
      </c>
      <c r="W49" s="2">
        <v>878</v>
      </c>
      <c r="X49" s="2" t="s">
        <v>46</v>
      </c>
      <c r="Y49" s="2" t="s">
        <v>47</v>
      </c>
      <c r="AA49" s="2" t="s">
        <v>48</v>
      </c>
      <c r="AB49" s="2">
        <v>1</v>
      </c>
      <c r="AC49" s="2" t="s">
        <v>165</v>
      </c>
      <c r="AD49" s="2" t="s">
        <v>50</v>
      </c>
      <c r="AE49" s="4">
        <v>10.1431667</v>
      </c>
      <c r="AF49" s="4">
        <v>-10.60505</v>
      </c>
      <c r="AG49" s="2" t="s">
        <v>51</v>
      </c>
      <c r="AI49" s="2" t="s">
        <v>52</v>
      </c>
      <c r="AJ49" s="2" t="str">
        <f>IF(Table1[[#This Row],[Host]]="Mastomys natalensis", "Mn", IF(Table1[[#This Row],[Host]]="Homo Sapiens","Human","PROBLEMMEMEMMEMEMEMM"))</f>
        <v>Mn</v>
      </c>
      <c r="AK49" s="2" t="s">
        <v>53</v>
      </c>
      <c r="AL49" s="5">
        <v>42386</v>
      </c>
      <c r="AM49" s="6" t="s">
        <v>1050</v>
      </c>
      <c r="AO49" s="2" t="s">
        <v>179</v>
      </c>
    </row>
    <row r="50" spans="1:41" x14ac:dyDescent="0.3">
      <c r="A50" s="2">
        <v>128</v>
      </c>
      <c r="B50" s="2" t="str">
        <f>_xlfn.CONCAT(Table1[[#This Row],[Acession_no_.1]],"|",Table1[[#This Row],[Strain name]],"|",Table1[[#This Row],[host_simple]],"|",Table1[[#This Row],[Country]],"|",Table1[[#This Row],[date_text]])</f>
        <v>MT119587|Dal-109|Mn|Guinea|2016-01-17</v>
      </c>
      <c r="C50" s="2" t="s">
        <v>1258</v>
      </c>
      <c r="D50" s="2" t="str">
        <f>IF(ISNUMBER(MATCH(B50,finalSelection!$A$1:$A$497,0)),"yes","no")</f>
        <v>no</v>
      </c>
      <c r="E50" s="2" t="s">
        <v>815</v>
      </c>
      <c r="F50" s="2" t="s">
        <v>180</v>
      </c>
      <c r="H50" s="2" t="s">
        <v>178</v>
      </c>
      <c r="I50" s="2" t="s">
        <v>56</v>
      </c>
      <c r="J50" s="2" t="s">
        <v>37</v>
      </c>
      <c r="K50" s="2" t="s">
        <v>38</v>
      </c>
      <c r="L50" s="2" t="s">
        <v>37</v>
      </c>
      <c r="M50" s="2" t="str">
        <f>VLOOKUP(C50,seqConcatenated!$A$1:$B$124,2, FALSE)</f>
        <v>MT119495 and MT119587 are merged</v>
      </c>
      <c r="N50" s="2" t="str">
        <f>IF(ISNA(Table1[[#This Row],[Column2]]),Table1[[#This Row],[comments2]], IF(O50="NA",M50,_xlfn.CONCAT(O50,"--",M50)))</f>
        <v>MT119495 and MT119587 are merged</v>
      </c>
      <c r="O50" s="2" t="s">
        <v>39</v>
      </c>
      <c r="P50" s="2" t="s">
        <v>40</v>
      </c>
      <c r="Q50" s="2" t="s">
        <v>41</v>
      </c>
      <c r="S50" s="2" t="s">
        <v>42</v>
      </c>
      <c r="T50" s="2" t="s">
        <v>43</v>
      </c>
      <c r="U50" s="2" t="s">
        <v>44</v>
      </c>
      <c r="V50" s="2" t="s">
        <v>45</v>
      </c>
      <c r="W50" s="2">
        <v>735</v>
      </c>
      <c r="X50" s="2" t="s">
        <v>46</v>
      </c>
      <c r="Y50" s="2" t="s">
        <v>47</v>
      </c>
      <c r="AA50" s="2" t="s">
        <v>48</v>
      </c>
      <c r="AB50" s="2">
        <v>1</v>
      </c>
      <c r="AC50" s="2" t="s">
        <v>165</v>
      </c>
      <c r="AD50" s="2" t="s">
        <v>50</v>
      </c>
      <c r="AE50" s="4">
        <v>10.1431667</v>
      </c>
      <c r="AF50" s="4">
        <v>-10.60505</v>
      </c>
      <c r="AG50" s="2" t="s">
        <v>51</v>
      </c>
      <c r="AI50" s="2" t="s">
        <v>52</v>
      </c>
      <c r="AJ50" s="2" t="str">
        <f>IF(Table1[[#This Row],[Host]]="Mastomys natalensis", "Mn", IF(Table1[[#This Row],[Host]]="Homo Sapiens","Human","PROBLEMMEMEMMEMEMEMM"))</f>
        <v>Mn</v>
      </c>
      <c r="AK50" s="2" t="s">
        <v>53</v>
      </c>
      <c r="AL50" s="5">
        <v>42386</v>
      </c>
      <c r="AM50" s="6" t="s">
        <v>1050</v>
      </c>
      <c r="AO50" s="2" t="s">
        <v>181</v>
      </c>
    </row>
    <row r="51" spans="1:41" x14ac:dyDescent="0.3">
      <c r="A51" s="2">
        <v>37</v>
      </c>
      <c r="B51" s="2" t="str">
        <f>_xlfn.CONCAT(Table1[[#This Row],[Acession_no_.1]],"|",Table1[[#This Row],[Strain name]],"|",Table1[[#This Row],[host_simple]],"|",Table1[[#This Row],[Country]],"|",Table1[[#This Row],[date_text]])</f>
        <v>MT119496|Dal-110|Mn|Guinea|2016-01-17</v>
      </c>
      <c r="C51" s="2" t="s">
        <v>1259</v>
      </c>
      <c r="D51" s="2" t="str">
        <f>IF(ISNUMBER(MATCH(B51,finalSelection!$A$1:$A$497,0)),"yes","no")</f>
        <v>no</v>
      </c>
      <c r="E51" s="2" t="s">
        <v>816</v>
      </c>
      <c r="F51" s="2" t="s">
        <v>182</v>
      </c>
      <c r="H51" s="2" t="s">
        <v>183</v>
      </c>
      <c r="I51" s="2" t="s">
        <v>36</v>
      </c>
      <c r="J51" s="2" t="s">
        <v>37</v>
      </c>
      <c r="K51" s="2" t="s">
        <v>38</v>
      </c>
      <c r="L51" s="2" t="s">
        <v>37</v>
      </c>
      <c r="M51" s="2" t="str">
        <f>VLOOKUP(C51,seqConcatenated!$A$1:$B$124,2, FALSE)</f>
        <v>MT119496 and MT119588 are merged</v>
      </c>
      <c r="N51" s="2" t="str">
        <f>IF(ISNA(Table1[[#This Row],[Column2]]),Table1[[#This Row],[comments2]], IF(O51="NA",M51,_xlfn.CONCAT(O51,"--",M51)))</f>
        <v>MT119496 and MT119588 are merged</v>
      </c>
      <c r="O51" s="2" t="s">
        <v>39</v>
      </c>
      <c r="P51" s="2" t="s">
        <v>40</v>
      </c>
      <c r="Q51" s="2" t="s">
        <v>41</v>
      </c>
      <c r="S51" s="2" t="s">
        <v>42</v>
      </c>
      <c r="T51" s="2" t="s">
        <v>43</v>
      </c>
      <c r="U51" s="2" t="s">
        <v>44</v>
      </c>
      <c r="V51" s="2" t="s">
        <v>45</v>
      </c>
      <c r="W51" s="2">
        <v>878</v>
      </c>
      <c r="X51" s="2" t="s">
        <v>46</v>
      </c>
      <c r="Y51" s="2" t="s">
        <v>47</v>
      </c>
      <c r="AA51" s="2" t="s">
        <v>48</v>
      </c>
      <c r="AB51" s="2">
        <v>1</v>
      </c>
      <c r="AC51" s="2" t="s">
        <v>165</v>
      </c>
      <c r="AD51" s="2" t="s">
        <v>50</v>
      </c>
      <c r="AE51" s="4">
        <v>10.1431667</v>
      </c>
      <c r="AF51" s="4">
        <v>-10.60505</v>
      </c>
      <c r="AG51" s="2" t="s">
        <v>51</v>
      </c>
      <c r="AI51" s="2" t="s">
        <v>52</v>
      </c>
      <c r="AJ51" s="2" t="str">
        <f>IF(Table1[[#This Row],[Host]]="Mastomys natalensis", "Mn", IF(Table1[[#This Row],[Host]]="Homo Sapiens","Human","PROBLEMMEMEMMEMEMEMM"))</f>
        <v>Mn</v>
      </c>
      <c r="AK51" s="2" t="s">
        <v>53</v>
      </c>
      <c r="AL51" s="5">
        <v>42386</v>
      </c>
      <c r="AM51" s="6" t="s">
        <v>1050</v>
      </c>
      <c r="AO51" s="2" t="s">
        <v>184</v>
      </c>
    </row>
    <row r="52" spans="1:41" x14ac:dyDescent="0.3">
      <c r="A52" s="2">
        <v>129</v>
      </c>
      <c r="B52" s="2" t="str">
        <f>_xlfn.CONCAT(Table1[[#This Row],[Acession_no_.1]],"|",Table1[[#This Row],[Strain name]],"|",Table1[[#This Row],[host_simple]],"|",Table1[[#This Row],[Country]],"|",Table1[[#This Row],[date_text]])</f>
        <v>MT119588|Dal-110|Mn|Guinea|2016-01-17</v>
      </c>
      <c r="C52" s="2" t="s">
        <v>1259</v>
      </c>
      <c r="D52" s="2" t="str">
        <f>IF(ISNUMBER(MATCH(B52,finalSelection!$A$1:$A$497,0)),"yes","no")</f>
        <v>no</v>
      </c>
      <c r="E52" s="2" t="s">
        <v>817</v>
      </c>
      <c r="F52" s="2" t="s">
        <v>185</v>
      </c>
      <c r="H52" s="2" t="s">
        <v>183</v>
      </c>
      <c r="I52" s="2" t="s">
        <v>56</v>
      </c>
      <c r="J52" s="2" t="s">
        <v>37</v>
      </c>
      <c r="K52" s="2" t="s">
        <v>38</v>
      </c>
      <c r="L52" s="2" t="s">
        <v>37</v>
      </c>
      <c r="M52" s="2" t="str">
        <f>VLOOKUP(C52,seqConcatenated!$A$1:$B$124,2, FALSE)</f>
        <v>MT119496 and MT119588 are merged</v>
      </c>
      <c r="N52" s="2" t="str">
        <f>IF(ISNA(Table1[[#This Row],[Column2]]),Table1[[#This Row],[comments2]], IF(O52="NA",M52,_xlfn.CONCAT(O52,"--",M52)))</f>
        <v>MT119496 and MT119588 are merged</v>
      </c>
      <c r="O52" s="2" t="s">
        <v>39</v>
      </c>
      <c r="P52" s="2" t="s">
        <v>40</v>
      </c>
      <c r="Q52" s="2" t="s">
        <v>41</v>
      </c>
      <c r="S52" s="2" t="s">
        <v>42</v>
      </c>
      <c r="T52" s="2" t="s">
        <v>43</v>
      </c>
      <c r="U52" s="2" t="s">
        <v>44</v>
      </c>
      <c r="V52" s="2" t="s">
        <v>45</v>
      </c>
      <c r="W52" s="2">
        <v>735</v>
      </c>
      <c r="X52" s="2" t="s">
        <v>46</v>
      </c>
      <c r="Y52" s="2" t="s">
        <v>47</v>
      </c>
      <c r="AA52" s="2" t="s">
        <v>48</v>
      </c>
      <c r="AB52" s="2">
        <v>1</v>
      </c>
      <c r="AC52" s="2" t="s">
        <v>165</v>
      </c>
      <c r="AD52" s="2" t="s">
        <v>50</v>
      </c>
      <c r="AE52" s="4">
        <v>10.1431667</v>
      </c>
      <c r="AF52" s="4">
        <v>-10.60505</v>
      </c>
      <c r="AG52" s="2" t="s">
        <v>51</v>
      </c>
      <c r="AI52" s="2" t="s">
        <v>52</v>
      </c>
      <c r="AJ52" s="2" t="str">
        <f>IF(Table1[[#This Row],[Host]]="Mastomys natalensis", "Mn", IF(Table1[[#This Row],[Host]]="Homo Sapiens","Human","PROBLEMMEMEMMEMEMEMM"))</f>
        <v>Mn</v>
      </c>
      <c r="AK52" s="2" t="s">
        <v>53</v>
      </c>
      <c r="AL52" s="5">
        <v>42386</v>
      </c>
      <c r="AM52" s="6" t="s">
        <v>1050</v>
      </c>
      <c r="AO52" s="2" t="s">
        <v>186</v>
      </c>
    </row>
    <row r="53" spans="1:41" x14ac:dyDescent="0.3">
      <c r="A53" s="2">
        <v>38</v>
      </c>
      <c r="B53" s="2" t="str">
        <f>_xlfn.CONCAT(Table1[[#This Row],[Acession_no_.1]],"|",Table1[[#This Row],[Strain name]],"|",Table1[[#This Row],[host_simple]],"|",Table1[[#This Row],[Country]],"|",Table1[[#This Row],[date_text]])</f>
        <v>MT119497|Dal-120|Mn|Guinea|2017-01-16</v>
      </c>
      <c r="C53" s="2" t="s">
        <v>1260</v>
      </c>
      <c r="D53" s="2" t="str">
        <f>IF(ISNUMBER(MATCH(B53,finalSelection!$A$1:$A$497,0)),"yes","no")</f>
        <v>yes</v>
      </c>
      <c r="E53" s="2" t="s">
        <v>818</v>
      </c>
      <c r="F53" s="2" t="s">
        <v>187</v>
      </c>
      <c r="H53" s="2" t="s">
        <v>188</v>
      </c>
      <c r="I53" s="2" t="s">
        <v>36</v>
      </c>
      <c r="J53" s="2" t="s">
        <v>37</v>
      </c>
      <c r="K53" s="2" t="s">
        <v>38</v>
      </c>
      <c r="L53" s="2" t="s">
        <v>37</v>
      </c>
      <c r="M53" s="2" t="str">
        <f>VLOOKUP(C53,seqConcatenated!$A$1:$B$124,2, FALSE)</f>
        <v>MT119497 and MT119589 are merged</v>
      </c>
      <c r="N53" s="2" t="str">
        <f>IF(ISNA(Table1[[#This Row],[Column2]]),Table1[[#This Row],[comments2]], IF(O53="NA",M53,_xlfn.CONCAT(O53,"--",M53)))</f>
        <v>MT119497 and MT119589 are merged</v>
      </c>
      <c r="O53" s="2" t="s">
        <v>39</v>
      </c>
      <c r="P53" s="2" t="s">
        <v>40</v>
      </c>
      <c r="Q53" s="2" t="s">
        <v>41</v>
      </c>
      <c r="S53" s="2" t="s">
        <v>42</v>
      </c>
      <c r="T53" s="2" t="s">
        <v>43</v>
      </c>
      <c r="U53" s="2" t="s">
        <v>44</v>
      </c>
      <c r="V53" s="2" t="s">
        <v>45</v>
      </c>
      <c r="W53" s="2">
        <v>888</v>
      </c>
      <c r="X53" s="2" t="s">
        <v>46</v>
      </c>
      <c r="Y53" s="2" t="s">
        <v>47</v>
      </c>
      <c r="AA53" s="2" t="s">
        <v>48</v>
      </c>
      <c r="AB53" s="2">
        <v>1</v>
      </c>
      <c r="AC53" s="2" t="s">
        <v>165</v>
      </c>
      <c r="AD53" s="2" t="s">
        <v>50</v>
      </c>
      <c r="AE53" s="4">
        <v>10.1431667</v>
      </c>
      <c r="AF53" s="4">
        <v>-10.60505</v>
      </c>
      <c r="AG53" s="2" t="s">
        <v>51</v>
      </c>
      <c r="AI53" s="2" t="s">
        <v>52</v>
      </c>
      <c r="AJ53" s="2" t="str">
        <f>IF(Table1[[#This Row],[Host]]="Mastomys natalensis", "Mn", IF(Table1[[#This Row],[Host]]="Homo Sapiens","Human","PROBLEMMEMEMMEMEMEMM"))</f>
        <v>Mn</v>
      </c>
      <c r="AK53" s="2" t="s">
        <v>53</v>
      </c>
      <c r="AL53" s="5">
        <v>42751</v>
      </c>
      <c r="AM53" s="6" t="s">
        <v>1051</v>
      </c>
      <c r="AO53" s="2" t="s">
        <v>189</v>
      </c>
    </row>
    <row r="54" spans="1:41" x14ac:dyDescent="0.3">
      <c r="A54" s="2">
        <v>130</v>
      </c>
      <c r="B54" s="2" t="str">
        <f>_xlfn.CONCAT(Table1[[#This Row],[Acession_no_.1]],"|",Table1[[#This Row],[Strain name]],"|",Table1[[#This Row],[host_simple]],"|",Table1[[#This Row],[Country]],"|",Table1[[#This Row],[date_text]])</f>
        <v>MT119589|Dal-120|Mn|Guinea|2017-01-16</v>
      </c>
      <c r="C54" s="2" t="s">
        <v>1260</v>
      </c>
      <c r="D54" s="2" t="str">
        <f>IF(ISNUMBER(MATCH(B54,finalSelection!$A$1:$A$497,0)),"yes","no")</f>
        <v>no</v>
      </c>
      <c r="E54" s="2" t="s">
        <v>819</v>
      </c>
      <c r="F54" s="2" t="s">
        <v>190</v>
      </c>
      <c r="H54" s="2" t="s">
        <v>188</v>
      </c>
      <c r="I54" s="2" t="s">
        <v>56</v>
      </c>
      <c r="J54" s="2" t="s">
        <v>37</v>
      </c>
      <c r="K54" s="2" t="s">
        <v>38</v>
      </c>
      <c r="L54" s="2" t="s">
        <v>37</v>
      </c>
      <c r="M54" s="2" t="str">
        <f>VLOOKUP(C54,seqConcatenated!$A$1:$B$124,2, FALSE)</f>
        <v>MT119497 and MT119589 are merged</v>
      </c>
      <c r="N54" s="2" t="str">
        <f>IF(ISNA(Table1[[#This Row],[Column2]]),Table1[[#This Row],[comments2]], IF(O54="NA",M54,_xlfn.CONCAT(O54,"--",M54)))</f>
        <v>MT119497 and MT119589 are merged</v>
      </c>
      <c r="O54" s="2" t="s">
        <v>39</v>
      </c>
      <c r="P54" s="2" t="s">
        <v>40</v>
      </c>
      <c r="Q54" s="2" t="s">
        <v>41</v>
      </c>
      <c r="S54" s="2" t="s">
        <v>42</v>
      </c>
      <c r="T54" s="2" t="s">
        <v>43</v>
      </c>
      <c r="U54" s="2" t="s">
        <v>44</v>
      </c>
      <c r="V54" s="2" t="s">
        <v>45</v>
      </c>
      <c r="W54" s="2">
        <v>735</v>
      </c>
      <c r="X54" s="2" t="s">
        <v>46</v>
      </c>
      <c r="Y54" s="2" t="s">
        <v>47</v>
      </c>
      <c r="AA54" s="2" t="s">
        <v>48</v>
      </c>
      <c r="AB54" s="2">
        <v>1</v>
      </c>
      <c r="AC54" s="2" t="s">
        <v>165</v>
      </c>
      <c r="AD54" s="2" t="s">
        <v>50</v>
      </c>
      <c r="AE54" s="4">
        <v>10.1431667</v>
      </c>
      <c r="AF54" s="4">
        <v>-10.60505</v>
      </c>
      <c r="AG54" s="2" t="s">
        <v>51</v>
      </c>
      <c r="AI54" s="2" t="s">
        <v>52</v>
      </c>
      <c r="AJ54" s="2" t="str">
        <f>IF(Table1[[#This Row],[Host]]="Mastomys natalensis", "Mn", IF(Table1[[#This Row],[Host]]="Homo Sapiens","Human","PROBLEMMEMEMMEMEMEMM"))</f>
        <v>Mn</v>
      </c>
      <c r="AK54" s="2" t="s">
        <v>53</v>
      </c>
      <c r="AL54" s="5">
        <v>42751</v>
      </c>
      <c r="AM54" s="6" t="s">
        <v>1051</v>
      </c>
      <c r="AO54" s="2" t="s">
        <v>191</v>
      </c>
    </row>
    <row r="55" spans="1:41" x14ac:dyDescent="0.3">
      <c r="A55" s="2">
        <v>39</v>
      </c>
      <c r="B55" s="2" t="str">
        <f>_xlfn.CONCAT(Table1[[#This Row],[Acession_no_.1]],"|",Table1[[#This Row],[Strain name]],"|",Table1[[#This Row],[host_simple]],"|",Table1[[#This Row],[Country]],"|",Table1[[#This Row],[date_text]])</f>
        <v>MT119498|Dal-121|Mn|Guinea|2017-01-16</v>
      </c>
      <c r="C55" s="2" t="s">
        <v>1261</v>
      </c>
      <c r="D55" s="2" t="str">
        <f>IF(ISNUMBER(MATCH(B55,finalSelection!$A$1:$A$497,0)),"yes","no")</f>
        <v>yes</v>
      </c>
      <c r="E55" s="2" t="s">
        <v>820</v>
      </c>
      <c r="F55" s="2" t="s">
        <v>192</v>
      </c>
      <c r="H55" s="2" t="s">
        <v>193</v>
      </c>
      <c r="I55" s="2" t="s">
        <v>36</v>
      </c>
      <c r="J55" s="2" t="s">
        <v>37</v>
      </c>
      <c r="K55" s="2" t="s">
        <v>38</v>
      </c>
      <c r="L55" s="2" t="s">
        <v>37</v>
      </c>
      <c r="M55" s="2" t="str">
        <f>VLOOKUP(C55,seqConcatenated!$A$1:$B$124,2, FALSE)</f>
        <v>MT119498 and MT119590 are merged</v>
      </c>
      <c r="N55" s="2" t="str">
        <f>IF(ISNA(Table1[[#This Row],[Column2]]),Table1[[#This Row],[comments2]], IF(O55="NA",M55,_xlfn.CONCAT(O55,"--",M55)))</f>
        <v>MT119498 and MT119590 are merged</v>
      </c>
      <c r="O55" s="2" t="s">
        <v>39</v>
      </c>
      <c r="P55" s="2" t="s">
        <v>40</v>
      </c>
      <c r="Q55" s="2" t="s">
        <v>41</v>
      </c>
      <c r="S55" s="2" t="s">
        <v>42</v>
      </c>
      <c r="T55" s="2" t="s">
        <v>43</v>
      </c>
      <c r="U55" s="2" t="s">
        <v>44</v>
      </c>
      <c r="V55" s="2" t="s">
        <v>45</v>
      </c>
      <c r="W55" s="2">
        <v>888</v>
      </c>
      <c r="X55" s="2" t="s">
        <v>46</v>
      </c>
      <c r="Y55" s="2" t="s">
        <v>47</v>
      </c>
      <c r="AA55" s="2" t="s">
        <v>48</v>
      </c>
      <c r="AB55" s="2">
        <v>1</v>
      </c>
      <c r="AC55" s="2" t="s">
        <v>165</v>
      </c>
      <c r="AD55" s="2" t="s">
        <v>50</v>
      </c>
      <c r="AE55" s="4">
        <v>10.1431667</v>
      </c>
      <c r="AF55" s="4">
        <v>-10.60505</v>
      </c>
      <c r="AG55" s="2" t="s">
        <v>51</v>
      </c>
      <c r="AI55" s="2" t="s">
        <v>52</v>
      </c>
      <c r="AJ55" s="2" t="str">
        <f>IF(Table1[[#This Row],[Host]]="Mastomys natalensis", "Mn", IF(Table1[[#This Row],[Host]]="Homo Sapiens","Human","PROBLEMMEMEMMEMEMEMM"))</f>
        <v>Mn</v>
      </c>
      <c r="AK55" s="2" t="s">
        <v>53</v>
      </c>
      <c r="AL55" s="5">
        <v>42751</v>
      </c>
      <c r="AM55" s="6" t="s">
        <v>1051</v>
      </c>
      <c r="AO55" s="2" t="s">
        <v>194</v>
      </c>
    </row>
    <row r="56" spans="1:41" x14ac:dyDescent="0.3">
      <c r="A56" s="2">
        <v>131</v>
      </c>
      <c r="B56" s="2" t="str">
        <f>_xlfn.CONCAT(Table1[[#This Row],[Acession_no_.1]],"|",Table1[[#This Row],[Strain name]],"|",Table1[[#This Row],[host_simple]],"|",Table1[[#This Row],[Country]],"|",Table1[[#This Row],[date_text]])</f>
        <v>MT119590|Dal-121|Mn|Guinea|2017-01-16</v>
      </c>
      <c r="C56" s="2" t="s">
        <v>1261</v>
      </c>
      <c r="D56" s="2" t="str">
        <f>IF(ISNUMBER(MATCH(B56,finalSelection!$A$1:$A$497,0)),"yes","no")</f>
        <v>no</v>
      </c>
      <c r="E56" s="2" t="s">
        <v>821</v>
      </c>
      <c r="F56" s="2" t="s">
        <v>195</v>
      </c>
      <c r="H56" s="2" t="s">
        <v>193</v>
      </c>
      <c r="I56" s="2" t="s">
        <v>56</v>
      </c>
      <c r="J56" s="2" t="s">
        <v>37</v>
      </c>
      <c r="K56" s="2" t="s">
        <v>38</v>
      </c>
      <c r="L56" s="2" t="s">
        <v>37</v>
      </c>
      <c r="M56" s="2" t="str">
        <f>VLOOKUP(C56,seqConcatenated!$A$1:$B$124,2, FALSE)</f>
        <v>MT119498 and MT119590 are merged</v>
      </c>
      <c r="N56" s="2" t="str">
        <f>IF(ISNA(Table1[[#This Row],[Column2]]),Table1[[#This Row],[comments2]], IF(O56="NA",M56,_xlfn.CONCAT(O56,"--",M56)))</f>
        <v>MT119498 and MT119590 are merged</v>
      </c>
      <c r="O56" s="2" t="s">
        <v>39</v>
      </c>
      <c r="P56" s="2" t="s">
        <v>40</v>
      </c>
      <c r="Q56" s="2" t="s">
        <v>41</v>
      </c>
      <c r="S56" s="2" t="s">
        <v>42</v>
      </c>
      <c r="T56" s="2" t="s">
        <v>43</v>
      </c>
      <c r="U56" s="2" t="s">
        <v>44</v>
      </c>
      <c r="V56" s="2" t="s">
        <v>45</v>
      </c>
      <c r="W56" s="2">
        <v>735</v>
      </c>
      <c r="X56" s="2" t="s">
        <v>46</v>
      </c>
      <c r="Y56" s="2" t="s">
        <v>47</v>
      </c>
      <c r="AA56" s="2" t="s">
        <v>48</v>
      </c>
      <c r="AB56" s="2">
        <v>1</v>
      </c>
      <c r="AC56" s="2" t="s">
        <v>165</v>
      </c>
      <c r="AD56" s="2" t="s">
        <v>50</v>
      </c>
      <c r="AE56" s="4">
        <v>10.1431667</v>
      </c>
      <c r="AF56" s="4">
        <v>-10.60505</v>
      </c>
      <c r="AG56" s="2" t="s">
        <v>51</v>
      </c>
      <c r="AI56" s="2" t="s">
        <v>52</v>
      </c>
      <c r="AJ56" s="2" t="str">
        <f>IF(Table1[[#This Row],[Host]]="Mastomys natalensis", "Mn", IF(Table1[[#This Row],[Host]]="Homo Sapiens","Human","PROBLEMMEMEMMEMEMEMM"))</f>
        <v>Mn</v>
      </c>
      <c r="AK56" s="2" t="s">
        <v>53</v>
      </c>
      <c r="AL56" s="5">
        <v>42751</v>
      </c>
      <c r="AM56" s="6" t="s">
        <v>1051</v>
      </c>
      <c r="AO56" s="2" t="s">
        <v>196</v>
      </c>
    </row>
    <row r="57" spans="1:41" x14ac:dyDescent="0.3">
      <c r="A57" s="2">
        <v>40</v>
      </c>
      <c r="B57" s="2" t="str">
        <f>_xlfn.CONCAT(Table1[[#This Row],[Acession_no_.1]],"|",Table1[[#This Row],[Strain name]],"|",Table1[[#This Row],[host_simple]],"|",Table1[[#This Row],[Country]],"|",Table1[[#This Row],[date_text]])</f>
        <v>MT119499|Dal-125|Mn|Guinea|2017-01-16</v>
      </c>
      <c r="C57" s="2" t="s">
        <v>1262</v>
      </c>
      <c r="D57" s="2" t="str">
        <f>IF(ISNUMBER(MATCH(B57,finalSelection!$A$1:$A$497,0)),"yes","no")</f>
        <v>yes</v>
      </c>
      <c r="E57" s="2" t="s">
        <v>822</v>
      </c>
      <c r="F57" s="2" t="s">
        <v>197</v>
      </c>
      <c r="H57" s="2" t="s">
        <v>198</v>
      </c>
      <c r="I57" s="2" t="s">
        <v>36</v>
      </c>
      <c r="J57" s="2" t="s">
        <v>37</v>
      </c>
      <c r="K57" s="2" t="s">
        <v>38</v>
      </c>
      <c r="L57" s="2" t="s">
        <v>37</v>
      </c>
      <c r="M57" s="2" t="str">
        <f>VLOOKUP(C57,seqConcatenated!$A$1:$B$124,2, FALSE)</f>
        <v>MT119499 and MT119591 are merged</v>
      </c>
      <c r="N57" s="2" t="str">
        <f>IF(ISNA(Table1[[#This Row],[Column2]]),Table1[[#This Row],[comments2]], IF(O57="NA",M57,_xlfn.CONCAT(O57,"--",M57)))</f>
        <v>MT119499 and MT119591 are merged</v>
      </c>
      <c r="O57" s="2" t="s">
        <v>39</v>
      </c>
      <c r="P57" s="2" t="s">
        <v>40</v>
      </c>
      <c r="Q57" s="2" t="s">
        <v>41</v>
      </c>
      <c r="S57" s="2" t="s">
        <v>42</v>
      </c>
      <c r="T57" s="2" t="s">
        <v>43</v>
      </c>
      <c r="U57" s="2" t="s">
        <v>44</v>
      </c>
      <c r="V57" s="2" t="s">
        <v>45</v>
      </c>
      <c r="W57" s="2">
        <v>888</v>
      </c>
      <c r="X57" s="2" t="s">
        <v>46</v>
      </c>
      <c r="Y57" s="2" t="s">
        <v>47</v>
      </c>
      <c r="AA57" s="2" t="s">
        <v>48</v>
      </c>
      <c r="AB57" s="2">
        <v>1</v>
      </c>
      <c r="AC57" s="2" t="s">
        <v>165</v>
      </c>
      <c r="AD57" s="2" t="s">
        <v>50</v>
      </c>
      <c r="AE57" s="4">
        <v>10.1431667</v>
      </c>
      <c r="AF57" s="4">
        <v>-10.60505</v>
      </c>
      <c r="AG57" s="2" t="s">
        <v>51</v>
      </c>
      <c r="AI57" s="2" t="s">
        <v>52</v>
      </c>
      <c r="AJ57" s="2" t="str">
        <f>IF(Table1[[#This Row],[Host]]="Mastomys natalensis", "Mn", IF(Table1[[#This Row],[Host]]="Homo Sapiens","Human","PROBLEMMEMEMMEMEMEMM"))</f>
        <v>Mn</v>
      </c>
      <c r="AK57" s="2" t="s">
        <v>53</v>
      </c>
      <c r="AL57" s="5">
        <v>42751</v>
      </c>
      <c r="AM57" s="6" t="s">
        <v>1051</v>
      </c>
      <c r="AO57" s="2" t="s">
        <v>199</v>
      </c>
    </row>
    <row r="58" spans="1:41" x14ac:dyDescent="0.3">
      <c r="A58" s="2">
        <v>132</v>
      </c>
      <c r="B58" s="2" t="str">
        <f>_xlfn.CONCAT(Table1[[#This Row],[Acession_no_.1]],"|",Table1[[#This Row],[Strain name]],"|",Table1[[#This Row],[host_simple]],"|",Table1[[#This Row],[Country]],"|",Table1[[#This Row],[date_text]])</f>
        <v>MT119591|Dal-125|Mn|Guinea|2017-01-16</v>
      </c>
      <c r="C58" s="2" t="s">
        <v>1262</v>
      </c>
      <c r="D58" s="2" t="str">
        <f>IF(ISNUMBER(MATCH(B58,finalSelection!$A$1:$A$497,0)),"yes","no")</f>
        <v>no</v>
      </c>
      <c r="E58" s="2" t="s">
        <v>823</v>
      </c>
      <c r="F58" s="2" t="s">
        <v>200</v>
      </c>
      <c r="H58" s="2" t="s">
        <v>198</v>
      </c>
      <c r="I58" s="2" t="s">
        <v>56</v>
      </c>
      <c r="J58" s="2" t="s">
        <v>37</v>
      </c>
      <c r="K58" s="2" t="s">
        <v>38</v>
      </c>
      <c r="L58" s="2" t="s">
        <v>37</v>
      </c>
      <c r="M58" s="2" t="str">
        <f>VLOOKUP(C58,seqConcatenated!$A$1:$B$124,2, FALSE)</f>
        <v>MT119499 and MT119591 are merged</v>
      </c>
      <c r="N58" s="2" t="str">
        <f>IF(ISNA(Table1[[#This Row],[Column2]]),Table1[[#This Row],[comments2]], IF(O58="NA",M58,_xlfn.CONCAT(O58,"--",M58)))</f>
        <v>MT119499 and MT119591 are merged</v>
      </c>
      <c r="O58" s="2" t="s">
        <v>39</v>
      </c>
      <c r="P58" s="2" t="s">
        <v>40</v>
      </c>
      <c r="Q58" s="2" t="s">
        <v>41</v>
      </c>
      <c r="S58" s="2" t="s">
        <v>42</v>
      </c>
      <c r="T58" s="2" t="s">
        <v>43</v>
      </c>
      <c r="U58" s="2" t="s">
        <v>44</v>
      </c>
      <c r="V58" s="2" t="s">
        <v>45</v>
      </c>
      <c r="W58" s="2">
        <v>735</v>
      </c>
      <c r="X58" s="2" t="s">
        <v>46</v>
      </c>
      <c r="Y58" s="2" t="s">
        <v>47</v>
      </c>
      <c r="AA58" s="2" t="s">
        <v>48</v>
      </c>
      <c r="AB58" s="2">
        <v>1</v>
      </c>
      <c r="AC58" s="2" t="s">
        <v>165</v>
      </c>
      <c r="AD58" s="2" t="s">
        <v>50</v>
      </c>
      <c r="AE58" s="4">
        <v>10.1431667</v>
      </c>
      <c r="AF58" s="4">
        <v>-10.60505</v>
      </c>
      <c r="AG58" s="2" t="s">
        <v>51</v>
      </c>
      <c r="AI58" s="2" t="s">
        <v>52</v>
      </c>
      <c r="AJ58" s="2" t="str">
        <f>IF(Table1[[#This Row],[Host]]="Mastomys natalensis", "Mn", IF(Table1[[#This Row],[Host]]="Homo Sapiens","Human","PROBLEMMEMEMMEMEMEMM"))</f>
        <v>Mn</v>
      </c>
      <c r="AK58" s="2" t="s">
        <v>53</v>
      </c>
      <c r="AL58" s="5">
        <v>42751</v>
      </c>
      <c r="AM58" s="6" t="s">
        <v>1051</v>
      </c>
      <c r="AO58" s="2" t="s">
        <v>201</v>
      </c>
    </row>
    <row r="59" spans="1:41" x14ac:dyDescent="0.3">
      <c r="A59" s="2">
        <v>41</v>
      </c>
      <c r="B59" s="2" t="str">
        <f>_xlfn.CONCAT(Table1[[#This Row],[Acession_no_.1]],"|",Table1[[#This Row],[Strain name]],"|",Table1[[#This Row],[host_simple]],"|",Table1[[#This Row],[Country]],"|",Table1[[#This Row],[date_text]])</f>
        <v>MT119500|Dal-139|Mn|Guinea|2017-01-18</v>
      </c>
      <c r="C59" s="2" t="s">
        <v>1263</v>
      </c>
      <c r="D59" s="2" t="str">
        <f>IF(ISNUMBER(MATCH(B59,finalSelection!$A$1:$A$497,0)),"yes","no")</f>
        <v>yes</v>
      </c>
      <c r="E59" s="2" t="s">
        <v>824</v>
      </c>
      <c r="F59" s="2" t="s">
        <v>202</v>
      </c>
      <c r="H59" s="2" t="s">
        <v>203</v>
      </c>
      <c r="I59" s="2" t="s">
        <v>36</v>
      </c>
      <c r="J59" s="2" t="s">
        <v>37</v>
      </c>
      <c r="K59" s="2" t="s">
        <v>38</v>
      </c>
      <c r="L59" s="2" t="s">
        <v>37</v>
      </c>
      <c r="M59" s="2" t="str">
        <f>VLOOKUP(C59,seqConcatenated!$A$1:$B$124,2, FALSE)</f>
        <v>MT119500 and MT119592 are merged</v>
      </c>
      <c r="N59" s="2" t="str">
        <f>IF(ISNA(Table1[[#This Row],[Column2]]),Table1[[#This Row],[comments2]], IF(O59="NA",M59,_xlfn.CONCAT(O59,"--",M59)))</f>
        <v>MT119500 and MT119592 are merged</v>
      </c>
      <c r="O59" s="2" t="s">
        <v>39</v>
      </c>
      <c r="P59" s="2" t="s">
        <v>40</v>
      </c>
      <c r="Q59" s="2" t="s">
        <v>41</v>
      </c>
      <c r="S59" s="2" t="s">
        <v>42</v>
      </c>
      <c r="T59" s="2" t="s">
        <v>43</v>
      </c>
      <c r="U59" s="2" t="s">
        <v>44</v>
      </c>
      <c r="V59" s="2" t="s">
        <v>45</v>
      </c>
      <c r="W59" s="2">
        <v>888</v>
      </c>
      <c r="X59" s="2" t="s">
        <v>46</v>
      </c>
      <c r="Y59" s="2" t="s">
        <v>47</v>
      </c>
      <c r="AA59" s="2" t="s">
        <v>48</v>
      </c>
      <c r="AB59" s="2">
        <v>1</v>
      </c>
      <c r="AC59" s="2" t="s">
        <v>165</v>
      </c>
      <c r="AD59" s="2" t="s">
        <v>50</v>
      </c>
      <c r="AE59" s="4">
        <v>10.1431667</v>
      </c>
      <c r="AF59" s="4">
        <v>-10.60505</v>
      </c>
      <c r="AG59" s="2" t="s">
        <v>51</v>
      </c>
      <c r="AI59" s="2" t="s">
        <v>52</v>
      </c>
      <c r="AJ59" s="2" t="str">
        <f>IF(Table1[[#This Row],[Host]]="Mastomys natalensis", "Mn", IF(Table1[[#This Row],[Host]]="Homo Sapiens","Human","PROBLEMMEMEMMEMEMEMM"))</f>
        <v>Mn</v>
      </c>
      <c r="AK59" s="2" t="s">
        <v>53</v>
      </c>
      <c r="AL59" s="5">
        <v>42753</v>
      </c>
      <c r="AM59" s="6" t="s">
        <v>1052</v>
      </c>
      <c r="AO59" s="2" t="s">
        <v>204</v>
      </c>
    </row>
    <row r="60" spans="1:41" x14ac:dyDescent="0.3">
      <c r="A60" s="2">
        <v>133</v>
      </c>
      <c r="B60" s="2" t="str">
        <f>_xlfn.CONCAT(Table1[[#This Row],[Acession_no_.1]],"|",Table1[[#This Row],[Strain name]],"|",Table1[[#This Row],[host_simple]],"|",Table1[[#This Row],[Country]],"|",Table1[[#This Row],[date_text]])</f>
        <v>MT119592|Dal-139|Mn|Guinea|2017-01-18</v>
      </c>
      <c r="C60" s="2" t="s">
        <v>1263</v>
      </c>
      <c r="D60" s="2" t="str">
        <f>IF(ISNUMBER(MATCH(B60,finalSelection!$A$1:$A$497,0)),"yes","no")</f>
        <v>no</v>
      </c>
      <c r="E60" s="2" t="s">
        <v>825</v>
      </c>
      <c r="F60" s="2" t="s">
        <v>205</v>
      </c>
      <c r="H60" s="2" t="s">
        <v>203</v>
      </c>
      <c r="I60" s="2" t="s">
        <v>56</v>
      </c>
      <c r="J60" s="2" t="s">
        <v>37</v>
      </c>
      <c r="K60" s="2" t="s">
        <v>38</v>
      </c>
      <c r="L60" s="2" t="s">
        <v>37</v>
      </c>
      <c r="M60" s="2" t="str">
        <f>VLOOKUP(C60,seqConcatenated!$A$1:$B$124,2, FALSE)</f>
        <v>MT119500 and MT119592 are merged</v>
      </c>
      <c r="N60" s="2" t="str">
        <f>IF(ISNA(Table1[[#This Row],[Column2]]),Table1[[#This Row],[comments2]], IF(O60="NA",M60,_xlfn.CONCAT(O60,"--",M60)))</f>
        <v>MT119500 and MT119592 are merged</v>
      </c>
      <c r="O60" s="2" t="s">
        <v>39</v>
      </c>
      <c r="P60" s="2" t="s">
        <v>40</v>
      </c>
      <c r="Q60" s="2" t="s">
        <v>41</v>
      </c>
      <c r="S60" s="2" t="s">
        <v>42</v>
      </c>
      <c r="T60" s="2" t="s">
        <v>43</v>
      </c>
      <c r="U60" s="2" t="s">
        <v>44</v>
      </c>
      <c r="V60" s="2" t="s">
        <v>45</v>
      </c>
      <c r="W60" s="2">
        <v>735</v>
      </c>
      <c r="X60" s="2" t="s">
        <v>46</v>
      </c>
      <c r="Y60" s="2" t="s">
        <v>47</v>
      </c>
      <c r="AA60" s="2" t="s">
        <v>48</v>
      </c>
      <c r="AB60" s="2">
        <v>1</v>
      </c>
      <c r="AC60" s="2" t="s">
        <v>165</v>
      </c>
      <c r="AD60" s="2" t="s">
        <v>50</v>
      </c>
      <c r="AE60" s="4">
        <v>10.1431667</v>
      </c>
      <c r="AF60" s="4">
        <v>-10.60505</v>
      </c>
      <c r="AG60" s="2" t="s">
        <v>51</v>
      </c>
      <c r="AI60" s="2" t="s">
        <v>52</v>
      </c>
      <c r="AJ60" s="2" t="str">
        <f>IF(Table1[[#This Row],[Host]]="Mastomys natalensis", "Mn", IF(Table1[[#This Row],[Host]]="Homo Sapiens","Human","PROBLEMMEMEMMEMEMEMM"))</f>
        <v>Mn</v>
      </c>
      <c r="AK60" s="2" t="s">
        <v>53</v>
      </c>
      <c r="AL60" s="5">
        <v>42753</v>
      </c>
      <c r="AM60" s="6" t="s">
        <v>1052</v>
      </c>
      <c r="AO60" s="2" t="s">
        <v>206</v>
      </c>
    </row>
    <row r="61" spans="1:41" x14ac:dyDescent="0.3">
      <c r="A61" s="2">
        <v>42</v>
      </c>
      <c r="B61" s="2" t="str">
        <f>_xlfn.CONCAT(Table1[[#This Row],[Acession_no_.1]],"|",Table1[[#This Row],[Strain name]],"|",Table1[[#This Row],[host_simple]],"|",Table1[[#This Row],[Country]],"|",Table1[[#This Row],[date_text]])</f>
        <v>MT119501|Dal-140|Mn|Guinea|2017-01-18</v>
      </c>
      <c r="C61" s="2" t="s">
        <v>1264</v>
      </c>
      <c r="D61" s="2" t="str">
        <f>IF(ISNUMBER(MATCH(B61,finalSelection!$A$1:$A$497,0)),"yes","no")</f>
        <v>no</v>
      </c>
      <c r="E61" s="2" t="s">
        <v>826</v>
      </c>
      <c r="F61" s="2" t="s">
        <v>207</v>
      </c>
      <c r="H61" s="2" t="s">
        <v>208</v>
      </c>
      <c r="I61" s="2" t="s">
        <v>36</v>
      </c>
      <c r="J61" s="2" t="s">
        <v>37</v>
      </c>
      <c r="K61" s="2" t="s">
        <v>38</v>
      </c>
      <c r="L61" s="2" t="s">
        <v>37</v>
      </c>
      <c r="M61" s="2" t="str">
        <f>VLOOKUP(C61,seqConcatenated!$A$1:$B$124,2, FALSE)</f>
        <v>MT119501 and MT119593 are merged</v>
      </c>
      <c r="N61" s="2" t="str">
        <f>IF(ISNA(Table1[[#This Row],[Column2]]),Table1[[#This Row],[comments2]], IF(O61="NA",M61,_xlfn.CONCAT(O61,"--",M61)))</f>
        <v>MT119501 and MT119593 are merged</v>
      </c>
      <c r="O61" s="2" t="s">
        <v>39</v>
      </c>
      <c r="P61" s="2" t="s">
        <v>40</v>
      </c>
      <c r="Q61" s="2" t="s">
        <v>41</v>
      </c>
      <c r="S61" s="2" t="s">
        <v>42</v>
      </c>
      <c r="T61" s="2" t="s">
        <v>43</v>
      </c>
      <c r="U61" s="2" t="s">
        <v>44</v>
      </c>
      <c r="V61" s="2" t="s">
        <v>45</v>
      </c>
      <c r="W61" s="2">
        <v>888</v>
      </c>
      <c r="X61" s="2" t="s">
        <v>46</v>
      </c>
      <c r="Y61" s="2" t="s">
        <v>47</v>
      </c>
      <c r="AA61" s="2" t="s">
        <v>48</v>
      </c>
      <c r="AB61" s="2">
        <v>1</v>
      </c>
      <c r="AC61" s="2" t="s">
        <v>165</v>
      </c>
      <c r="AD61" s="2" t="s">
        <v>50</v>
      </c>
      <c r="AE61" s="4">
        <v>10.1431667</v>
      </c>
      <c r="AF61" s="4">
        <v>-10.60505</v>
      </c>
      <c r="AG61" s="2" t="s">
        <v>51</v>
      </c>
      <c r="AI61" s="2" t="s">
        <v>52</v>
      </c>
      <c r="AJ61" s="2" t="str">
        <f>IF(Table1[[#This Row],[Host]]="Mastomys natalensis", "Mn", IF(Table1[[#This Row],[Host]]="Homo Sapiens","Human","PROBLEMMEMEMMEMEMEMM"))</f>
        <v>Mn</v>
      </c>
      <c r="AK61" s="2" t="s">
        <v>53</v>
      </c>
      <c r="AL61" s="5">
        <v>42753</v>
      </c>
      <c r="AM61" s="6" t="s">
        <v>1052</v>
      </c>
      <c r="AO61" s="2" t="s">
        <v>209</v>
      </c>
    </row>
    <row r="62" spans="1:41" x14ac:dyDescent="0.3">
      <c r="A62" s="2">
        <v>134</v>
      </c>
      <c r="B62" s="2" t="str">
        <f>_xlfn.CONCAT(Table1[[#This Row],[Acession_no_.1]],"|",Table1[[#This Row],[Strain name]],"|",Table1[[#This Row],[host_simple]],"|",Table1[[#This Row],[Country]],"|",Table1[[#This Row],[date_text]])</f>
        <v>MT119593|Dal-140|Mn|Guinea|2017-01-18</v>
      </c>
      <c r="C62" s="2" t="s">
        <v>1264</v>
      </c>
      <c r="D62" s="2" t="str">
        <f>IF(ISNUMBER(MATCH(B62,finalSelection!$A$1:$A$497,0)),"yes","no")</f>
        <v>no</v>
      </c>
      <c r="E62" s="2" t="s">
        <v>827</v>
      </c>
      <c r="F62" s="2" t="s">
        <v>210</v>
      </c>
      <c r="H62" s="2" t="s">
        <v>208</v>
      </c>
      <c r="I62" s="2" t="s">
        <v>56</v>
      </c>
      <c r="J62" s="2" t="s">
        <v>37</v>
      </c>
      <c r="K62" s="2" t="s">
        <v>38</v>
      </c>
      <c r="L62" s="2" t="s">
        <v>37</v>
      </c>
      <c r="M62" s="2" t="str">
        <f>VLOOKUP(C62,seqConcatenated!$A$1:$B$124,2, FALSE)</f>
        <v>MT119501 and MT119593 are merged</v>
      </c>
      <c r="N62" s="2" t="str">
        <f>IF(ISNA(Table1[[#This Row],[Column2]]),Table1[[#This Row],[comments2]], IF(O62="NA",M62,_xlfn.CONCAT(O62,"--",M62)))</f>
        <v>MT119501 and MT119593 are merged</v>
      </c>
      <c r="O62" s="2" t="s">
        <v>39</v>
      </c>
      <c r="P62" s="2" t="s">
        <v>40</v>
      </c>
      <c r="Q62" s="2" t="s">
        <v>41</v>
      </c>
      <c r="S62" s="2" t="s">
        <v>42</v>
      </c>
      <c r="T62" s="2" t="s">
        <v>43</v>
      </c>
      <c r="U62" s="2" t="s">
        <v>44</v>
      </c>
      <c r="V62" s="2" t="s">
        <v>45</v>
      </c>
      <c r="W62" s="2">
        <v>735</v>
      </c>
      <c r="X62" s="2" t="s">
        <v>46</v>
      </c>
      <c r="Y62" s="2" t="s">
        <v>47</v>
      </c>
      <c r="AA62" s="2" t="s">
        <v>48</v>
      </c>
      <c r="AB62" s="2">
        <v>1</v>
      </c>
      <c r="AC62" s="2" t="s">
        <v>165</v>
      </c>
      <c r="AD62" s="2" t="s">
        <v>50</v>
      </c>
      <c r="AE62" s="4">
        <v>10.1431667</v>
      </c>
      <c r="AF62" s="4">
        <v>-10.60505</v>
      </c>
      <c r="AG62" s="2" t="s">
        <v>51</v>
      </c>
      <c r="AI62" s="2" t="s">
        <v>52</v>
      </c>
      <c r="AJ62" s="2" t="str">
        <f>IF(Table1[[#This Row],[Host]]="Mastomys natalensis", "Mn", IF(Table1[[#This Row],[Host]]="Homo Sapiens","Human","PROBLEMMEMEMMEMEMEMM"))</f>
        <v>Mn</v>
      </c>
      <c r="AK62" s="2" t="s">
        <v>53</v>
      </c>
      <c r="AL62" s="5">
        <v>42753</v>
      </c>
      <c r="AM62" s="6" t="s">
        <v>1052</v>
      </c>
      <c r="AO62" s="2" t="s">
        <v>211</v>
      </c>
    </row>
    <row r="63" spans="1:41" x14ac:dyDescent="0.3">
      <c r="A63" s="2">
        <v>24</v>
      </c>
      <c r="B63" s="2" t="str">
        <f>_xlfn.CONCAT(Table1[[#This Row],[Acession_no_.1]],"|",Table1[[#This Row],[Strain name]],"|",Table1[[#This Row],[host_simple]],"|",Table1[[#This Row],[Country]],"|",Table1[[#This Row],[date_text]])</f>
        <v>MT119483|Dal-29|Mn|Guinea|2013-11-30</v>
      </c>
      <c r="C63" s="2" t="s">
        <v>1265</v>
      </c>
      <c r="D63" s="2" t="str">
        <f>IF(ISNUMBER(MATCH(B63,finalSelection!$A$1:$A$497,0)),"yes","no")</f>
        <v>yes</v>
      </c>
      <c r="E63" s="2" t="s">
        <v>828</v>
      </c>
      <c r="F63" s="2" t="s">
        <v>212</v>
      </c>
      <c r="H63" s="2" t="s">
        <v>213</v>
      </c>
      <c r="I63" s="2" t="s">
        <v>36</v>
      </c>
      <c r="J63" s="2" t="s">
        <v>37</v>
      </c>
      <c r="K63" s="2" t="s">
        <v>38</v>
      </c>
      <c r="L63" s="2" t="s">
        <v>37</v>
      </c>
      <c r="M63" s="2" t="str">
        <f>VLOOKUP(C63,seqConcatenated!$A$1:$B$124,2, FALSE)</f>
        <v>MT119483 and MT119576 are merged</v>
      </c>
      <c r="N63" s="2" t="str">
        <f>IF(ISNA(Table1[[#This Row],[Column2]]),Table1[[#This Row],[comments2]], IF(O63="NA",M63,_xlfn.CONCAT(O63,"--",M63)))</f>
        <v>MT119483 and MT119576 are merged</v>
      </c>
      <c r="O63" s="2" t="s">
        <v>39</v>
      </c>
      <c r="P63" s="2" t="s">
        <v>40</v>
      </c>
      <c r="Q63" s="2" t="s">
        <v>41</v>
      </c>
      <c r="S63" s="2" t="s">
        <v>42</v>
      </c>
      <c r="T63" s="2" t="s">
        <v>43</v>
      </c>
      <c r="U63" s="2" t="s">
        <v>44</v>
      </c>
      <c r="V63" s="2" t="s">
        <v>45</v>
      </c>
      <c r="W63" s="2">
        <v>888</v>
      </c>
      <c r="X63" s="2" t="s">
        <v>46</v>
      </c>
      <c r="Y63" s="2" t="s">
        <v>47</v>
      </c>
      <c r="AA63" s="2" t="s">
        <v>48</v>
      </c>
      <c r="AB63" s="2">
        <v>1</v>
      </c>
      <c r="AC63" s="2" t="s">
        <v>165</v>
      </c>
      <c r="AD63" s="2" t="s">
        <v>50</v>
      </c>
      <c r="AE63" s="4">
        <v>10.1431667</v>
      </c>
      <c r="AF63" s="4">
        <v>-10.60505</v>
      </c>
      <c r="AG63" s="2" t="s">
        <v>51</v>
      </c>
      <c r="AI63" s="2" t="s">
        <v>52</v>
      </c>
      <c r="AJ63" s="2" t="str">
        <f>IF(Table1[[#This Row],[Host]]="Mastomys natalensis", "Mn", IF(Table1[[#This Row],[Host]]="Homo Sapiens","Human","PROBLEMMEMEMMEMEMEMM"))</f>
        <v>Mn</v>
      </c>
      <c r="AK63" s="2" t="s">
        <v>53</v>
      </c>
      <c r="AL63" s="5">
        <v>41608</v>
      </c>
      <c r="AM63" s="6" t="s">
        <v>1053</v>
      </c>
      <c r="AO63" s="2" t="s">
        <v>214</v>
      </c>
    </row>
    <row r="64" spans="1:41" x14ac:dyDescent="0.3">
      <c r="A64" s="2">
        <v>117</v>
      </c>
      <c r="B64" s="2" t="str">
        <f>_xlfn.CONCAT(Table1[[#This Row],[Acession_no_.1]],"|",Table1[[#This Row],[Strain name]],"|",Table1[[#This Row],[host_simple]],"|",Table1[[#This Row],[Country]],"|",Table1[[#This Row],[date_text]])</f>
        <v>MT119576|Dal-29|Mn|Guinea|2013-11-30</v>
      </c>
      <c r="C64" s="2" t="s">
        <v>1265</v>
      </c>
      <c r="D64" s="2" t="str">
        <f>IF(ISNUMBER(MATCH(B64,finalSelection!$A$1:$A$497,0)),"yes","no")</f>
        <v>no</v>
      </c>
      <c r="E64" s="2" t="s">
        <v>829</v>
      </c>
      <c r="F64" s="2" t="s">
        <v>215</v>
      </c>
      <c r="H64" s="2" t="s">
        <v>213</v>
      </c>
      <c r="I64" s="2" t="s">
        <v>56</v>
      </c>
      <c r="J64" s="2" t="s">
        <v>37</v>
      </c>
      <c r="K64" s="2" t="s">
        <v>38</v>
      </c>
      <c r="L64" s="2" t="s">
        <v>37</v>
      </c>
      <c r="M64" s="2" t="str">
        <f>VLOOKUP(C64,seqConcatenated!$A$1:$B$124,2, FALSE)</f>
        <v>MT119483 and MT119576 are merged</v>
      </c>
      <c r="N64" s="2" t="str">
        <f>IF(ISNA(Table1[[#This Row],[Column2]]),Table1[[#This Row],[comments2]], IF(O64="NA",M64,_xlfn.CONCAT(O64,"--",M64)))</f>
        <v>MT119483 and MT119576 are merged</v>
      </c>
      <c r="O64" s="2" t="s">
        <v>39</v>
      </c>
      <c r="P64" s="2" t="s">
        <v>40</v>
      </c>
      <c r="Q64" s="2" t="s">
        <v>41</v>
      </c>
      <c r="S64" s="2" t="s">
        <v>42</v>
      </c>
      <c r="T64" s="2" t="s">
        <v>43</v>
      </c>
      <c r="U64" s="2" t="s">
        <v>44</v>
      </c>
      <c r="V64" s="2" t="s">
        <v>45</v>
      </c>
      <c r="W64" s="2">
        <v>735</v>
      </c>
      <c r="X64" s="2" t="s">
        <v>46</v>
      </c>
      <c r="Y64" s="2" t="s">
        <v>47</v>
      </c>
      <c r="AA64" s="2" t="s">
        <v>48</v>
      </c>
      <c r="AB64" s="2">
        <v>1</v>
      </c>
      <c r="AC64" s="2" t="s">
        <v>165</v>
      </c>
      <c r="AD64" s="2" t="s">
        <v>50</v>
      </c>
      <c r="AE64" s="4">
        <v>10.1431667</v>
      </c>
      <c r="AF64" s="4">
        <v>-10.60505</v>
      </c>
      <c r="AG64" s="2" t="s">
        <v>51</v>
      </c>
      <c r="AI64" s="2" t="s">
        <v>52</v>
      </c>
      <c r="AJ64" s="2" t="str">
        <f>IF(Table1[[#This Row],[Host]]="Mastomys natalensis", "Mn", IF(Table1[[#This Row],[Host]]="Homo Sapiens","Human","PROBLEMMEMEMMEMEMEMM"))</f>
        <v>Mn</v>
      </c>
      <c r="AK64" s="2" t="s">
        <v>53</v>
      </c>
      <c r="AL64" s="5">
        <v>41608</v>
      </c>
      <c r="AM64" s="6" t="s">
        <v>1053</v>
      </c>
      <c r="AO64" s="2" t="s">
        <v>216</v>
      </c>
    </row>
    <row r="65" spans="1:41" x14ac:dyDescent="0.3">
      <c r="A65" s="2">
        <v>25</v>
      </c>
      <c r="B65" s="2" t="str">
        <f>_xlfn.CONCAT(Table1[[#This Row],[Acession_no_.1]],"|",Table1[[#This Row],[Strain name]],"|",Table1[[#This Row],[host_simple]],"|",Table1[[#This Row],[Country]],"|",Table1[[#This Row],[date_text]])</f>
        <v>MT119484|Dal-31|Mn|Guinea|2013-11-30</v>
      </c>
      <c r="C65" s="2" t="s">
        <v>1266</v>
      </c>
      <c r="D65" s="2" t="str">
        <f>IF(ISNUMBER(MATCH(B65,finalSelection!$A$1:$A$497,0)),"yes","no")</f>
        <v>yes</v>
      </c>
      <c r="E65" s="2" t="s">
        <v>830</v>
      </c>
      <c r="F65" s="2" t="s">
        <v>217</v>
      </c>
      <c r="H65" s="2" t="s">
        <v>218</v>
      </c>
      <c r="I65" s="2" t="s">
        <v>36</v>
      </c>
      <c r="J65" s="2" t="s">
        <v>37</v>
      </c>
      <c r="K65" s="2" t="s">
        <v>38</v>
      </c>
      <c r="L65" s="2" t="s">
        <v>37</v>
      </c>
      <c r="M65" s="2" t="str">
        <f>VLOOKUP(C65,seqConcatenated!$A$1:$B$124,2, FALSE)</f>
        <v>MT119484 and MT119577 are merged</v>
      </c>
      <c r="N65" s="2" t="str">
        <f>IF(ISNA(Table1[[#This Row],[Column2]]),Table1[[#This Row],[comments2]], IF(O65="NA",M65,_xlfn.CONCAT(O65,"--",M65)))</f>
        <v>MT119484 and MT119577 are merged</v>
      </c>
      <c r="O65" s="2" t="s">
        <v>39</v>
      </c>
      <c r="P65" s="2" t="s">
        <v>40</v>
      </c>
      <c r="Q65" s="2" t="s">
        <v>41</v>
      </c>
      <c r="S65" s="2" t="s">
        <v>42</v>
      </c>
      <c r="T65" s="2" t="s">
        <v>43</v>
      </c>
      <c r="U65" s="2" t="s">
        <v>44</v>
      </c>
      <c r="V65" s="2" t="s">
        <v>45</v>
      </c>
      <c r="W65" s="2">
        <v>888</v>
      </c>
      <c r="X65" s="2" t="s">
        <v>46</v>
      </c>
      <c r="Y65" s="2" t="s">
        <v>47</v>
      </c>
      <c r="AA65" s="2" t="s">
        <v>48</v>
      </c>
      <c r="AB65" s="2">
        <v>1</v>
      </c>
      <c r="AC65" s="2" t="s">
        <v>165</v>
      </c>
      <c r="AD65" s="2" t="s">
        <v>50</v>
      </c>
      <c r="AE65" s="4">
        <v>10.1431667</v>
      </c>
      <c r="AF65" s="4">
        <v>-10.60505</v>
      </c>
      <c r="AG65" s="2" t="s">
        <v>51</v>
      </c>
      <c r="AI65" s="2" t="s">
        <v>52</v>
      </c>
      <c r="AJ65" s="2" t="str">
        <f>IF(Table1[[#This Row],[Host]]="Mastomys natalensis", "Mn", IF(Table1[[#This Row],[Host]]="Homo Sapiens","Human","PROBLEMMEMEMMEMEMEMM"))</f>
        <v>Mn</v>
      </c>
      <c r="AK65" s="2" t="s">
        <v>53</v>
      </c>
      <c r="AL65" s="5">
        <v>41608</v>
      </c>
      <c r="AM65" s="6" t="s">
        <v>1053</v>
      </c>
      <c r="AO65" s="2" t="s">
        <v>219</v>
      </c>
    </row>
    <row r="66" spans="1:41" x14ac:dyDescent="0.3">
      <c r="A66" s="2">
        <v>118</v>
      </c>
      <c r="B66" s="2" t="str">
        <f>_xlfn.CONCAT(Table1[[#This Row],[Acession_no_.1]],"|",Table1[[#This Row],[Strain name]],"|",Table1[[#This Row],[host_simple]],"|",Table1[[#This Row],[Country]],"|",Table1[[#This Row],[date_text]])</f>
        <v>MT119577|Dal-31|Mn|Guinea|2013-11-30</v>
      </c>
      <c r="C66" s="2" t="s">
        <v>1266</v>
      </c>
      <c r="D66" s="2" t="str">
        <f>IF(ISNUMBER(MATCH(B66,finalSelection!$A$1:$A$497,0)),"yes","no")</f>
        <v>no</v>
      </c>
      <c r="E66" s="2" t="s">
        <v>831</v>
      </c>
      <c r="F66" s="2" t="s">
        <v>220</v>
      </c>
      <c r="H66" s="2" t="s">
        <v>218</v>
      </c>
      <c r="I66" s="2" t="s">
        <v>56</v>
      </c>
      <c r="J66" s="2" t="s">
        <v>37</v>
      </c>
      <c r="K66" s="2" t="s">
        <v>38</v>
      </c>
      <c r="L66" s="2" t="s">
        <v>37</v>
      </c>
      <c r="M66" s="2" t="str">
        <f>VLOOKUP(C66,seqConcatenated!$A$1:$B$124,2, FALSE)</f>
        <v>MT119484 and MT119577 are merged</v>
      </c>
      <c r="N66" s="2" t="str">
        <f>IF(ISNA(Table1[[#This Row],[Column2]]),Table1[[#This Row],[comments2]], IF(O66="NA",M66,_xlfn.CONCAT(O66,"--",M66)))</f>
        <v>MT119484 and MT119577 are merged</v>
      </c>
      <c r="O66" s="2" t="s">
        <v>39</v>
      </c>
      <c r="P66" s="2" t="s">
        <v>40</v>
      </c>
      <c r="Q66" s="2" t="s">
        <v>41</v>
      </c>
      <c r="S66" s="2" t="s">
        <v>42</v>
      </c>
      <c r="T66" s="2" t="s">
        <v>43</v>
      </c>
      <c r="U66" s="2" t="s">
        <v>44</v>
      </c>
      <c r="V66" s="2" t="s">
        <v>45</v>
      </c>
      <c r="W66" s="2">
        <v>735</v>
      </c>
      <c r="X66" s="2" t="s">
        <v>46</v>
      </c>
      <c r="Y66" s="2" t="s">
        <v>47</v>
      </c>
      <c r="AA66" s="2" t="s">
        <v>48</v>
      </c>
      <c r="AB66" s="2">
        <v>1</v>
      </c>
      <c r="AC66" s="2" t="s">
        <v>165</v>
      </c>
      <c r="AD66" s="2" t="s">
        <v>50</v>
      </c>
      <c r="AE66" s="4">
        <v>10.1431667</v>
      </c>
      <c r="AF66" s="4">
        <v>-10.60505</v>
      </c>
      <c r="AG66" s="2" t="s">
        <v>51</v>
      </c>
      <c r="AI66" s="2" t="s">
        <v>52</v>
      </c>
      <c r="AJ66" s="2" t="str">
        <f>IF(Table1[[#This Row],[Host]]="Mastomys natalensis", "Mn", IF(Table1[[#This Row],[Host]]="Homo Sapiens","Human","PROBLEMMEMEMMEMEMEMM"))</f>
        <v>Mn</v>
      </c>
      <c r="AK66" s="2" t="s">
        <v>53</v>
      </c>
      <c r="AL66" s="5">
        <v>41608</v>
      </c>
      <c r="AM66" s="6" t="s">
        <v>1053</v>
      </c>
      <c r="AO66" s="2" t="s">
        <v>221</v>
      </c>
    </row>
    <row r="67" spans="1:41" x14ac:dyDescent="0.3">
      <c r="A67" s="2">
        <v>26</v>
      </c>
      <c r="B67" s="2" t="str">
        <f>_xlfn.CONCAT(Table1[[#This Row],[Acession_no_.1]],"|",Table1[[#This Row],[Strain name]],"|",Table1[[#This Row],[host_simple]],"|",Table1[[#This Row],[Country]],"|",Table1[[#This Row],[date_text]])</f>
        <v>MT119485|Dal-44|Mn|Guinea|2014-04-17</v>
      </c>
      <c r="C67" s="2" t="s">
        <v>1267</v>
      </c>
      <c r="D67" s="2" t="str">
        <f>IF(ISNUMBER(MATCH(B67,finalSelection!$A$1:$A$497,0)),"yes","no")</f>
        <v>yes</v>
      </c>
      <c r="E67" s="2" t="s">
        <v>832</v>
      </c>
      <c r="F67" s="2" t="s">
        <v>222</v>
      </c>
      <c r="H67" s="2" t="s">
        <v>223</v>
      </c>
      <c r="I67" s="2" t="s">
        <v>36</v>
      </c>
      <c r="J67" s="2" t="s">
        <v>37</v>
      </c>
      <c r="K67" s="2" t="s">
        <v>38</v>
      </c>
      <c r="L67" s="2" t="s">
        <v>37</v>
      </c>
      <c r="M67" s="2" t="str">
        <f>VLOOKUP(C67,seqConcatenated!$A$1:$B$124,2, FALSE)</f>
        <v>MT119485 and MT119578 are merged</v>
      </c>
      <c r="N67" s="2" t="str">
        <f>IF(ISNA(Table1[[#This Row],[Column2]]),Table1[[#This Row],[comments2]], IF(O67="NA",M67,_xlfn.CONCAT(O67,"--",M67)))</f>
        <v>MT119485 and MT119578 are merged</v>
      </c>
      <c r="O67" s="2" t="s">
        <v>39</v>
      </c>
      <c r="P67" s="2" t="s">
        <v>40</v>
      </c>
      <c r="Q67" s="2" t="s">
        <v>41</v>
      </c>
      <c r="S67" s="2" t="s">
        <v>42</v>
      </c>
      <c r="T67" s="2" t="s">
        <v>43</v>
      </c>
      <c r="U67" s="2" t="s">
        <v>44</v>
      </c>
      <c r="V67" s="2" t="s">
        <v>45</v>
      </c>
      <c r="W67" s="2">
        <v>888</v>
      </c>
      <c r="X67" s="2" t="s">
        <v>46</v>
      </c>
      <c r="Y67" s="2" t="s">
        <v>47</v>
      </c>
      <c r="AA67" s="2" t="s">
        <v>48</v>
      </c>
      <c r="AB67" s="2">
        <v>1</v>
      </c>
      <c r="AC67" s="2" t="s">
        <v>165</v>
      </c>
      <c r="AD67" s="2" t="s">
        <v>50</v>
      </c>
      <c r="AE67" s="4">
        <v>10.1431667</v>
      </c>
      <c r="AF67" s="4">
        <v>-10.60505</v>
      </c>
      <c r="AG67" s="2" t="s">
        <v>51</v>
      </c>
      <c r="AI67" s="2" t="s">
        <v>52</v>
      </c>
      <c r="AJ67" s="2" t="str">
        <f>IF(Table1[[#This Row],[Host]]="Mastomys natalensis", "Mn", IF(Table1[[#This Row],[Host]]="Homo Sapiens","Human","PROBLEMMEMEMMEMEMEMM"))</f>
        <v>Mn</v>
      </c>
      <c r="AK67" s="2" t="s">
        <v>53</v>
      </c>
      <c r="AL67" s="5">
        <v>41746</v>
      </c>
      <c r="AM67" s="6" t="s">
        <v>1054</v>
      </c>
      <c r="AO67" s="2" t="s">
        <v>224</v>
      </c>
    </row>
    <row r="68" spans="1:41" x14ac:dyDescent="0.3">
      <c r="A68" s="2">
        <v>119</v>
      </c>
      <c r="B68" s="2" t="str">
        <f>_xlfn.CONCAT(Table1[[#This Row],[Acession_no_.1]],"|",Table1[[#This Row],[Strain name]],"|",Table1[[#This Row],[host_simple]],"|",Table1[[#This Row],[Country]],"|",Table1[[#This Row],[date_text]])</f>
        <v>MT119578|Dal-44|Mn|Guinea|2014-04-17</v>
      </c>
      <c r="C68" s="2" t="s">
        <v>1267</v>
      </c>
      <c r="D68" s="2" t="str">
        <f>IF(ISNUMBER(MATCH(B68,finalSelection!$A$1:$A$497,0)),"yes","no")</f>
        <v>no</v>
      </c>
      <c r="E68" s="2" t="s">
        <v>833</v>
      </c>
      <c r="F68" s="2" t="s">
        <v>225</v>
      </c>
      <c r="H68" s="2" t="s">
        <v>223</v>
      </c>
      <c r="I68" s="2" t="s">
        <v>56</v>
      </c>
      <c r="J68" s="2" t="s">
        <v>37</v>
      </c>
      <c r="K68" s="2" t="s">
        <v>38</v>
      </c>
      <c r="L68" s="2" t="s">
        <v>37</v>
      </c>
      <c r="M68" s="2" t="str">
        <f>VLOOKUP(C68,seqConcatenated!$A$1:$B$124,2, FALSE)</f>
        <v>MT119485 and MT119578 are merged</v>
      </c>
      <c r="N68" s="2" t="str">
        <f>IF(ISNA(Table1[[#This Row],[Column2]]),Table1[[#This Row],[comments2]], IF(O68="NA",M68,_xlfn.CONCAT(O68,"--",M68)))</f>
        <v>MT119485 and MT119578 are merged</v>
      </c>
      <c r="O68" s="2" t="s">
        <v>39</v>
      </c>
      <c r="P68" s="2" t="s">
        <v>40</v>
      </c>
      <c r="Q68" s="2" t="s">
        <v>41</v>
      </c>
      <c r="S68" s="2" t="s">
        <v>42</v>
      </c>
      <c r="T68" s="2" t="s">
        <v>43</v>
      </c>
      <c r="U68" s="2" t="s">
        <v>44</v>
      </c>
      <c r="V68" s="2" t="s">
        <v>45</v>
      </c>
      <c r="W68" s="2">
        <v>735</v>
      </c>
      <c r="X68" s="2" t="s">
        <v>46</v>
      </c>
      <c r="Y68" s="2" t="s">
        <v>47</v>
      </c>
      <c r="AA68" s="2" t="s">
        <v>48</v>
      </c>
      <c r="AB68" s="2">
        <v>1</v>
      </c>
      <c r="AC68" s="2" t="s">
        <v>165</v>
      </c>
      <c r="AD68" s="2" t="s">
        <v>50</v>
      </c>
      <c r="AE68" s="4">
        <v>10.1431667</v>
      </c>
      <c r="AF68" s="4">
        <v>-10.60505</v>
      </c>
      <c r="AG68" s="2" t="s">
        <v>51</v>
      </c>
      <c r="AI68" s="2" t="s">
        <v>52</v>
      </c>
      <c r="AJ68" s="2" t="str">
        <f>IF(Table1[[#This Row],[Host]]="Mastomys natalensis", "Mn", IF(Table1[[#This Row],[Host]]="Homo Sapiens","Human","PROBLEMMEMEMMEMEMEMM"))</f>
        <v>Mn</v>
      </c>
      <c r="AK68" s="2" t="s">
        <v>53</v>
      </c>
      <c r="AL68" s="5">
        <v>41746</v>
      </c>
      <c r="AM68" s="6" t="s">
        <v>1054</v>
      </c>
      <c r="AO68" s="2" t="s">
        <v>226</v>
      </c>
    </row>
    <row r="69" spans="1:41" x14ac:dyDescent="0.3">
      <c r="A69" s="2">
        <v>27</v>
      </c>
      <c r="B69" s="2" t="str">
        <f>_xlfn.CONCAT(Table1[[#This Row],[Acession_no_.1]],"|",Table1[[#This Row],[Strain name]],"|",Table1[[#This Row],[host_simple]],"|",Table1[[#This Row],[Country]],"|",Table1[[#This Row],[date_text]])</f>
        <v>MT119486|Dal-46|Mn|Guinea|2014-04-17</v>
      </c>
      <c r="C69" s="2" t="s">
        <v>1268</v>
      </c>
      <c r="D69" s="2" t="str">
        <f>IF(ISNUMBER(MATCH(B69,finalSelection!$A$1:$A$497,0)),"yes","no")</f>
        <v>yes</v>
      </c>
      <c r="E69" s="2" t="s">
        <v>834</v>
      </c>
      <c r="F69" s="2" t="s">
        <v>227</v>
      </c>
      <c r="H69" s="2" t="s">
        <v>228</v>
      </c>
      <c r="I69" s="2" t="s">
        <v>36</v>
      </c>
      <c r="J69" s="2" t="s">
        <v>37</v>
      </c>
      <c r="K69" s="2" t="s">
        <v>38</v>
      </c>
      <c r="L69" s="2" t="s">
        <v>37</v>
      </c>
      <c r="M69" s="2" t="str">
        <f>VLOOKUP(C69,seqConcatenated!$A$1:$B$124,2, FALSE)</f>
        <v>MT119486 and MT119579 are merged</v>
      </c>
      <c r="N69" s="2" t="str">
        <f>IF(ISNA(Table1[[#This Row],[Column2]]),Table1[[#This Row],[comments2]], IF(O69="NA",M69,_xlfn.CONCAT(O69,"--",M69)))</f>
        <v>MT119486 and MT119579 are merged</v>
      </c>
      <c r="O69" s="2" t="s">
        <v>39</v>
      </c>
      <c r="P69" s="2" t="s">
        <v>40</v>
      </c>
      <c r="Q69" s="2" t="s">
        <v>41</v>
      </c>
      <c r="S69" s="2" t="s">
        <v>42</v>
      </c>
      <c r="T69" s="2" t="s">
        <v>43</v>
      </c>
      <c r="U69" s="2" t="s">
        <v>44</v>
      </c>
      <c r="V69" s="2" t="s">
        <v>45</v>
      </c>
      <c r="W69" s="2">
        <v>888</v>
      </c>
      <c r="X69" s="2" t="s">
        <v>46</v>
      </c>
      <c r="Y69" s="2" t="s">
        <v>47</v>
      </c>
      <c r="AA69" s="2" t="s">
        <v>48</v>
      </c>
      <c r="AB69" s="2">
        <v>1</v>
      </c>
      <c r="AC69" s="2" t="s">
        <v>165</v>
      </c>
      <c r="AD69" s="2" t="s">
        <v>50</v>
      </c>
      <c r="AE69" s="4">
        <v>10.1431667</v>
      </c>
      <c r="AF69" s="4">
        <v>-10.60505</v>
      </c>
      <c r="AG69" s="2" t="s">
        <v>51</v>
      </c>
      <c r="AI69" s="2" t="s">
        <v>52</v>
      </c>
      <c r="AJ69" s="2" t="str">
        <f>IF(Table1[[#This Row],[Host]]="Mastomys natalensis", "Mn", IF(Table1[[#This Row],[Host]]="Homo Sapiens","Human","PROBLEMMEMEMMEMEMEMM"))</f>
        <v>Mn</v>
      </c>
      <c r="AK69" s="2" t="s">
        <v>53</v>
      </c>
      <c r="AL69" s="5">
        <v>41746</v>
      </c>
      <c r="AM69" s="6" t="s">
        <v>1054</v>
      </c>
      <c r="AO69" s="2" t="s">
        <v>229</v>
      </c>
    </row>
    <row r="70" spans="1:41" x14ac:dyDescent="0.3">
      <c r="A70" s="2">
        <v>120</v>
      </c>
      <c r="B70" s="2" t="str">
        <f>_xlfn.CONCAT(Table1[[#This Row],[Acession_no_.1]],"|",Table1[[#This Row],[Strain name]],"|",Table1[[#This Row],[host_simple]],"|",Table1[[#This Row],[Country]],"|",Table1[[#This Row],[date_text]])</f>
        <v>MT119579|Dal-46|Mn|Guinea|2014-04-17</v>
      </c>
      <c r="C70" s="2" t="s">
        <v>1268</v>
      </c>
      <c r="D70" s="2" t="str">
        <f>IF(ISNUMBER(MATCH(B70,finalSelection!$A$1:$A$497,0)),"yes","no")</f>
        <v>no</v>
      </c>
      <c r="E70" s="2" t="s">
        <v>835</v>
      </c>
      <c r="F70" s="2" t="s">
        <v>230</v>
      </c>
      <c r="H70" s="2" t="s">
        <v>228</v>
      </c>
      <c r="I70" s="2" t="s">
        <v>56</v>
      </c>
      <c r="J70" s="2" t="s">
        <v>37</v>
      </c>
      <c r="K70" s="2" t="s">
        <v>38</v>
      </c>
      <c r="L70" s="2" t="s">
        <v>37</v>
      </c>
      <c r="M70" s="2" t="str">
        <f>VLOOKUP(C70,seqConcatenated!$A$1:$B$124,2, FALSE)</f>
        <v>MT119486 and MT119579 are merged</v>
      </c>
      <c r="N70" s="2" t="str">
        <f>IF(ISNA(Table1[[#This Row],[Column2]]),Table1[[#This Row],[comments2]], IF(O70="NA",M70,_xlfn.CONCAT(O70,"--",M70)))</f>
        <v>MT119486 and MT119579 are merged</v>
      </c>
      <c r="O70" s="2" t="s">
        <v>39</v>
      </c>
      <c r="P70" s="2" t="s">
        <v>40</v>
      </c>
      <c r="Q70" s="2" t="s">
        <v>41</v>
      </c>
      <c r="S70" s="2" t="s">
        <v>42</v>
      </c>
      <c r="T70" s="2" t="s">
        <v>43</v>
      </c>
      <c r="U70" s="2" t="s">
        <v>44</v>
      </c>
      <c r="V70" s="2" t="s">
        <v>45</v>
      </c>
      <c r="W70" s="2">
        <v>735</v>
      </c>
      <c r="X70" s="2" t="s">
        <v>46</v>
      </c>
      <c r="Y70" s="2" t="s">
        <v>47</v>
      </c>
      <c r="AA70" s="2" t="s">
        <v>48</v>
      </c>
      <c r="AB70" s="2">
        <v>1</v>
      </c>
      <c r="AC70" s="2" t="s">
        <v>165</v>
      </c>
      <c r="AD70" s="2" t="s">
        <v>50</v>
      </c>
      <c r="AE70" s="4">
        <v>10.1431667</v>
      </c>
      <c r="AF70" s="4">
        <v>-10.60505</v>
      </c>
      <c r="AG70" s="2" t="s">
        <v>51</v>
      </c>
      <c r="AI70" s="2" t="s">
        <v>52</v>
      </c>
      <c r="AJ70" s="2" t="str">
        <f>IF(Table1[[#This Row],[Host]]="Mastomys natalensis", "Mn", IF(Table1[[#This Row],[Host]]="Homo Sapiens","Human","PROBLEMMEMEMMEMEMEMM"))</f>
        <v>Mn</v>
      </c>
      <c r="AK70" s="2" t="s">
        <v>53</v>
      </c>
      <c r="AL70" s="5">
        <v>41746</v>
      </c>
      <c r="AM70" s="6" t="s">
        <v>1054</v>
      </c>
      <c r="AO70" s="2" t="s">
        <v>231</v>
      </c>
    </row>
    <row r="71" spans="1:41" x14ac:dyDescent="0.3">
      <c r="A71" s="2">
        <v>28</v>
      </c>
      <c r="B71" s="2" t="str">
        <f>_xlfn.CONCAT(Table1[[#This Row],[Acession_no_.1]],"|",Table1[[#This Row],[Strain name]],"|",Table1[[#This Row],[host_simple]],"|",Table1[[#This Row],[Country]],"|",Table1[[#This Row],[date_text]])</f>
        <v>MT119487|Dal-47|Mn|Guinea|2014-04-17</v>
      </c>
      <c r="C71" s="2" t="s">
        <v>1269</v>
      </c>
      <c r="D71" s="2" t="str">
        <f>IF(ISNUMBER(MATCH(B71,finalSelection!$A$1:$A$497,0)),"yes","no")</f>
        <v>yes</v>
      </c>
      <c r="E71" s="2" t="s">
        <v>836</v>
      </c>
      <c r="F71" s="2" t="s">
        <v>232</v>
      </c>
      <c r="H71" s="2" t="s">
        <v>233</v>
      </c>
      <c r="I71" s="2" t="s">
        <v>36</v>
      </c>
      <c r="J71" s="2" t="s">
        <v>37</v>
      </c>
      <c r="K71" s="2" t="s">
        <v>38</v>
      </c>
      <c r="L71" s="2" t="s">
        <v>37</v>
      </c>
      <c r="M71" s="2" t="str">
        <f>VLOOKUP(C71,seqConcatenated!$A$1:$B$124,2, FALSE)</f>
        <v>MT119487 and MT119580 are merged</v>
      </c>
      <c r="N71" s="2" t="str">
        <f>IF(ISNA(Table1[[#This Row],[Column2]]),Table1[[#This Row],[comments2]], IF(O71="NA",M71,_xlfn.CONCAT(O71,"--",M71)))</f>
        <v>MT119487 and MT119580 are merged</v>
      </c>
      <c r="O71" s="2" t="s">
        <v>39</v>
      </c>
      <c r="P71" s="2" t="s">
        <v>40</v>
      </c>
      <c r="Q71" s="2" t="s">
        <v>41</v>
      </c>
      <c r="S71" s="2" t="s">
        <v>42</v>
      </c>
      <c r="T71" s="2" t="s">
        <v>43</v>
      </c>
      <c r="U71" s="2" t="s">
        <v>44</v>
      </c>
      <c r="V71" s="2" t="s">
        <v>45</v>
      </c>
      <c r="W71" s="2">
        <v>888</v>
      </c>
      <c r="X71" s="2" t="s">
        <v>46</v>
      </c>
      <c r="Y71" s="2" t="s">
        <v>47</v>
      </c>
      <c r="AA71" s="2" t="s">
        <v>48</v>
      </c>
      <c r="AB71" s="2">
        <v>1</v>
      </c>
      <c r="AC71" s="2" t="s">
        <v>165</v>
      </c>
      <c r="AD71" s="2" t="s">
        <v>50</v>
      </c>
      <c r="AE71" s="4">
        <v>10.1431667</v>
      </c>
      <c r="AF71" s="4">
        <v>-10.60505</v>
      </c>
      <c r="AG71" s="2" t="s">
        <v>51</v>
      </c>
      <c r="AI71" s="2" t="s">
        <v>52</v>
      </c>
      <c r="AJ71" s="2" t="str">
        <f>IF(Table1[[#This Row],[Host]]="Mastomys natalensis", "Mn", IF(Table1[[#This Row],[Host]]="Homo Sapiens","Human","PROBLEMMEMEMMEMEMEMM"))</f>
        <v>Mn</v>
      </c>
      <c r="AK71" s="2" t="s">
        <v>53</v>
      </c>
      <c r="AL71" s="5">
        <v>41746</v>
      </c>
      <c r="AM71" s="6" t="s">
        <v>1054</v>
      </c>
      <c r="AO71" s="2" t="s">
        <v>234</v>
      </c>
    </row>
    <row r="72" spans="1:41" x14ac:dyDescent="0.3">
      <c r="A72" s="2">
        <v>121</v>
      </c>
      <c r="B72" s="2" t="str">
        <f>_xlfn.CONCAT(Table1[[#This Row],[Acession_no_.1]],"|",Table1[[#This Row],[Strain name]],"|",Table1[[#This Row],[host_simple]],"|",Table1[[#This Row],[Country]],"|",Table1[[#This Row],[date_text]])</f>
        <v>MT119580|Dal-47|Mn|Guinea|2014-04-17</v>
      </c>
      <c r="C72" s="2" t="s">
        <v>1269</v>
      </c>
      <c r="D72" s="2" t="str">
        <f>IF(ISNUMBER(MATCH(B72,finalSelection!$A$1:$A$497,0)),"yes","no")</f>
        <v>no</v>
      </c>
      <c r="E72" s="2" t="s">
        <v>837</v>
      </c>
      <c r="F72" s="2" t="s">
        <v>235</v>
      </c>
      <c r="H72" s="2" t="s">
        <v>233</v>
      </c>
      <c r="I72" s="2" t="s">
        <v>56</v>
      </c>
      <c r="J72" s="2" t="s">
        <v>37</v>
      </c>
      <c r="K72" s="2" t="s">
        <v>38</v>
      </c>
      <c r="L72" s="2" t="s">
        <v>37</v>
      </c>
      <c r="M72" s="2" t="str">
        <f>VLOOKUP(C72,seqConcatenated!$A$1:$B$124,2, FALSE)</f>
        <v>MT119487 and MT119580 are merged</v>
      </c>
      <c r="N72" s="2" t="str">
        <f>IF(ISNA(Table1[[#This Row],[Column2]]),Table1[[#This Row],[comments2]], IF(O72="NA",M72,_xlfn.CONCAT(O72,"--",M72)))</f>
        <v>MT119487 and MT119580 are merged</v>
      </c>
      <c r="O72" s="2" t="s">
        <v>39</v>
      </c>
      <c r="P72" s="2" t="s">
        <v>40</v>
      </c>
      <c r="Q72" s="2" t="s">
        <v>41</v>
      </c>
      <c r="S72" s="2" t="s">
        <v>42</v>
      </c>
      <c r="T72" s="2" t="s">
        <v>43</v>
      </c>
      <c r="U72" s="2" t="s">
        <v>44</v>
      </c>
      <c r="V72" s="2" t="s">
        <v>45</v>
      </c>
      <c r="W72" s="2">
        <v>735</v>
      </c>
      <c r="X72" s="2" t="s">
        <v>46</v>
      </c>
      <c r="Y72" s="2" t="s">
        <v>47</v>
      </c>
      <c r="AA72" s="2" t="s">
        <v>48</v>
      </c>
      <c r="AB72" s="2">
        <v>1</v>
      </c>
      <c r="AC72" s="2" t="s">
        <v>165</v>
      </c>
      <c r="AD72" s="2" t="s">
        <v>50</v>
      </c>
      <c r="AE72" s="4">
        <v>10.1431667</v>
      </c>
      <c r="AF72" s="4">
        <v>-10.60505</v>
      </c>
      <c r="AG72" s="2" t="s">
        <v>51</v>
      </c>
      <c r="AI72" s="2" t="s">
        <v>52</v>
      </c>
      <c r="AJ72" s="2" t="str">
        <f>IF(Table1[[#This Row],[Host]]="Mastomys natalensis", "Mn", IF(Table1[[#This Row],[Host]]="Homo Sapiens","Human","PROBLEMMEMEMMEMEMEMM"))</f>
        <v>Mn</v>
      </c>
      <c r="AK72" s="2" t="s">
        <v>53</v>
      </c>
      <c r="AL72" s="5">
        <v>41746</v>
      </c>
      <c r="AM72" s="6" t="s">
        <v>1054</v>
      </c>
      <c r="AO72" s="2" t="s">
        <v>236</v>
      </c>
    </row>
    <row r="73" spans="1:41" x14ac:dyDescent="0.3">
      <c r="A73" s="2">
        <v>29</v>
      </c>
      <c r="B73" s="2" t="str">
        <f>_xlfn.CONCAT(Table1[[#This Row],[Acession_no_.1]],"|",Table1[[#This Row],[Strain name]],"|",Table1[[#This Row],[host_simple]],"|",Table1[[#This Row],[Country]],"|",Table1[[#This Row],[date_text]])</f>
        <v>MT119488|Dal-65|Mn|Guinea|2015-03-19</v>
      </c>
      <c r="C73" s="2" t="s">
        <v>1270</v>
      </c>
      <c r="D73" s="2" t="str">
        <f>IF(ISNUMBER(MATCH(B73,finalSelection!$A$1:$A$497,0)),"yes","no")</f>
        <v>no</v>
      </c>
      <c r="E73" s="2" t="s">
        <v>838</v>
      </c>
      <c r="F73" s="2" t="s">
        <v>237</v>
      </c>
      <c r="H73" s="2" t="s">
        <v>238</v>
      </c>
      <c r="I73" s="2" t="s">
        <v>36</v>
      </c>
      <c r="J73" s="2" t="s">
        <v>37</v>
      </c>
      <c r="K73" s="2" t="s">
        <v>38</v>
      </c>
      <c r="L73" s="2" t="s">
        <v>37</v>
      </c>
      <c r="M73" s="2" t="e">
        <f>VLOOKUP(C73,seqConcatenated!$A$1:$B$124,2, FALSE)</f>
        <v>#N/A</v>
      </c>
      <c r="N73" s="2" t="str">
        <f>IF(ISNA(Table1[[#This Row],[Column2]]),Table1[[#This Row],[comments2]], IF(O73="NA",M73,_xlfn.CONCAT(O73,"--",M73)))</f>
        <v>NA</v>
      </c>
      <c r="O73" s="2" t="s">
        <v>39</v>
      </c>
      <c r="P73" s="2" t="s">
        <v>40</v>
      </c>
      <c r="Q73" s="2" t="s">
        <v>41</v>
      </c>
      <c r="S73" s="2" t="s">
        <v>42</v>
      </c>
      <c r="T73" s="2" t="s">
        <v>43</v>
      </c>
      <c r="U73" s="2" t="s">
        <v>44</v>
      </c>
      <c r="V73" s="2" t="s">
        <v>45</v>
      </c>
      <c r="W73" s="2">
        <v>888</v>
      </c>
      <c r="X73" s="2" t="s">
        <v>46</v>
      </c>
      <c r="Y73" s="2" t="s">
        <v>47</v>
      </c>
      <c r="AA73" s="2" t="s">
        <v>48</v>
      </c>
      <c r="AB73" s="2">
        <v>1</v>
      </c>
      <c r="AC73" s="2" t="s">
        <v>165</v>
      </c>
      <c r="AD73" s="2" t="s">
        <v>50</v>
      </c>
      <c r="AE73" s="4">
        <v>10.1431667</v>
      </c>
      <c r="AF73" s="4">
        <v>-10.60505</v>
      </c>
      <c r="AG73" s="2" t="s">
        <v>51</v>
      </c>
      <c r="AI73" s="2" t="s">
        <v>52</v>
      </c>
      <c r="AJ73" s="2" t="str">
        <f>IF(Table1[[#This Row],[Host]]="Mastomys natalensis", "Mn", IF(Table1[[#This Row],[Host]]="Homo Sapiens","Human","PROBLEMMEMEMMEMEMEMM"))</f>
        <v>Mn</v>
      </c>
      <c r="AK73" s="2" t="s">
        <v>53</v>
      </c>
      <c r="AL73" s="5">
        <v>42082</v>
      </c>
      <c r="AM73" s="6" t="s">
        <v>1055</v>
      </c>
      <c r="AO73" s="2" t="s">
        <v>239</v>
      </c>
    </row>
    <row r="74" spans="1:41" x14ac:dyDescent="0.3">
      <c r="A74" s="2">
        <v>30</v>
      </c>
      <c r="B74" s="2" t="str">
        <f>_xlfn.CONCAT(Table1[[#This Row],[Acession_no_.1]],"|",Table1[[#This Row],[Strain name]],"|",Table1[[#This Row],[host_simple]],"|",Table1[[#This Row],[Country]],"|",Table1[[#This Row],[date_text]])</f>
        <v>MT119489|Dal-77|Mn|Guinea|2016-01-15</v>
      </c>
      <c r="C74" s="2" t="s">
        <v>1271</v>
      </c>
      <c r="D74" s="2" t="str">
        <f>IF(ISNUMBER(MATCH(B74,finalSelection!$A$1:$A$497,0)),"yes","no")</f>
        <v>yes</v>
      </c>
      <c r="E74" s="2" t="s">
        <v>839</v>
      </c>
      <c r="F74" s="2" t="s">
        <v>240</v>
      </c>
      <c r="H74" s="2" t="s">
        <v>241</v>
      </c>
      <c r="I74" s="2" t="s">
        <v>36</v>
      </c>
      <c r="J74" s="2" t="s">
        <v>37</v>
      </c>
      <c r="K74" s="2" t="s">
        <v>38</v>
      </c>
      <c r="L74" s="2" t="s">
        <v>37</v>
      </c>
      <c r="M74" s="2" t="str">
        <f>VLOOKUP(C74,seqConcatenated!$A$1:$B$124,2, FALSE)</f>
        <v>MT119489 and MT119581 are merged</v>
      </c>
      <c r="N74" s="2" t="str">
        <f>IF(ISNA(Table1[[#This Row],[Column2]]),Table1[[#This Row],[comments2]], IF(O74="NA",M74,_xlfn.CONCAT(O74,"--",M74)))</f>
        <v>MT119489 and MT119581 are merged</v>
      </c>
      <c r="O74" s="2" t="s">
        <v>39</v>
      </c>
      <c r="P74" s="2" t="s">
        <v>40</v>
      </c>
      <c r="Q74" s="2" t="s">
        <v>41</v>
      </c>
      <c r="S74" s="2" t="s">
        <v>42</v>
      </c>
      <c r="T74" s="2" t="s">
        <v>43</v>
      </c>
      <c r="U74" s="2" t="s">
        <v>44</v>
      </c>
      <c r="V74" s="2" t="s">
        <v>45</v>
      </c>
      <c r="W74" s="2">
        <v>888</v>
      </c>
      <c r="X74" s="2" t="s">
        <v>46</v>
      </c>
      <c r="Y74" s="2" t="s">
        <v>47</v>
      </c>
      <c r="AA74" s="2" t="s">
        <v>48</v>
      </c>
      <c r="AB74" s="2">
        <v>1</v>
      </c>
      <c r="AC74" s="2" t="s">
        <v>165</v>
      </c>
      <c r="AD74" s="2" t="s">
        <v>50</v>
      </c>
      <c r="AE74" s="4">
        <v>10.1431667</v>
      </c>
      <c r="AF74" s="4">
        <v>-10.60505</v>
      </c>
      <c r="AG74" s="2" t="s">
        <v>51</v>
      </c>
      <c r="AI74" s="2" t="s">
        <v>52</v>
      </c>
      <c r="AJ74" s="2" t="str">
        <f>IF(Table1[[#This Row],[Host]]="Mastomys natalensis", "Mn", IF(Table1[[#This Row],[Host]]="Homo Sapiens","Human","PROBLEMMEMEMMEMEMEMM"))</f>
        <v>Mn</v>
      </c>
      <c r="AK74" s="2" t="s">
        <v>53</v>
      </c>
      <c r="AL74" s="5">
        <v>42384</v>
      </c>
      <c r="AM74" s="6" t="s">
        <v>1056</v>
      </c>
      <c r="AO74" s="2" t="s">
        <v>242</v>
      </c>
    </row>
    <row r="75" spans="1:41" x14ac:dyDescent="0.3">
      <c r="A75" s="2">
        <v>122</v>
      </c>
      <c r="B75" s="2" t="str">
        <f>_xlfn.CONCAT(Table1[[#This Row],[Acession_no_.1]],"|",Table1[[#This Row],[Strain name]],"|",Table1[[#This Row],[host_simple]],"|",Table1[[#This Row],[Country]],"|",Table1[[#This Row],[date_text]])</f>
        <v>MT119581|Dal-77|Mn|Guinea|2016-01-15</v>
      </c>
      <c r="C75" s="2" t="s">
        <v>1271</v>
      </c>
      <c r="D75" s="2" t="str">
        <f>IF(ISNUMBER(MATCH(B75,finalSelection!$A$1:$A$497,0)),"yes","no")</f>
        <v>no</v>
      </c>
      <c r="E75" s="2" t="s">
        <v>840</v>
      </c>
      <c r="F75" s="2" t="s">
        <v>243</v>
      </c>
      <c r="H75" s="2" t="s">
        <v>241</v>
      </c>
      <c r="I75" s="2" t="s">
        <v>56</v>
      </c>
      <c r="J75" s="2" t="s">
        <v>37</v>
      </c>
      <c r="K75" s="2" t="s">
        <v>38</v>
      </c>
      <c r="L75" s="2" t="s">
        <v>37</v>
      </c>
      <c r="M75" s="2" t="str">
        <f>VLOOKUP(C75,seqConcatenated!$A$1:$B$124,2, FALSE)</f>
        <v>MT119489 and MT119581 are merged</v>
      </c>
      <c r="N75" s="2" t="str">
        <f>IF(ISNA(Table1[[#This Row],[Column2]]),Table1[[#This Row],[comments2]], IF(O75="NA",M75,_xlfn.CONCAT(O75,"--",M75)))</f>
        <v>MT119489 and MT119581 are merged</v>
      </c>
      <c r="O75" s="2" t="s">
        <v>39</v>
      </c>
      <c r="P75" s="2" t="s">
        <v>40</v>
      </c>
      <c r="Q75" s="2" t="s">
        <v>41</v>
      </c>
      <c r="S75" s="2" t="s">
        <v>42</v>
      </c>
      <c r="T75" s="2" t="s">
        <v>43</v>
      </c>
      <c r="U75" s="2" t="s">
        <v>44</v>
      </c>
      <c r="V75" s="2" t="s">
        <v>45</v>
      </c>
      <c r="W75" s="2">
        <v>735</v>
      </c>
      <c r="X75" s="2" t="s">
        <v>46</v>
      </c>
      <c r="Y75" s="2" t="s">
        <v>47</v>
      </c>
      <c r="AA75" s="2" t="s">
        <v>48</v>
      </c>
      <c r="AB75" s="2">
        <v>1</v>
      </c>
      <c r="AC75" s="2" t="s">
        <v>165</v>
      </c>
      <c r="AD75" s="2" t="s">
        <v>50</v>
      </c>
      <c r="AE75" s="4">
        <v>10.1431667</v>
      </c>
      <c r="AF75" s="4">
        <v>-10.60505</v>
      </c>
      <c r="AG75" s="2" t="s">
        <v>51</v>
      </c>
      <c r="AI75" s="2" t="s">
        <v>52</v>
      </c>
      <c r="AJ75" s="2" t="str">
        <f>IF(Table1[[#This Row],[Host]]="Mastomys natalensis", "Mn", IF(Table1[[#This Row],[Host]]="Homo Sapiens","Human","PROBLEMMEMEMMEMEMEMM"))</f>
        <v>Mn</v>
      </c>
      <c r="AK75" s="2" t="s">
        <v>53</v>
      </c>
      <c r="AL75" s="5">
        <v>42384</v>
      </c>
      <c r="AM75" s="6" t="s">
        <v>1056</v>
      </c>
      <c r="AO75" s="2" t="s">
        <v>244</v>
      </c>
    </row>
    <row r="76" spans="1:41" x14ac:dyDescent="0.3">
      <c r="A76" s="2">
        <v>31</v>
      </c>
      <c r="B76" s="2" t="str">
        <f>_xlfn.CONCAT(Table1[[#This Row],[Acession_no_.1]],"|",Table1[[#This Row],[Strain name]],"|",Table1[[#This Row],[host_simple]],"|",Table1[[#This Row],[Country]],"|",Table1[[#This Row],[date_text]])</f>
        <v>MT119490|Dal-78|Mn|Guinea|2016-01-15</v>
      </c>
      <c r="C76" s="2" t="s">
        <v>1272</v>
      </c>
      <c r="D76" s="2" t="str">
        <f>IF(ISNUMBER(MATCH(B76,finalSelection!$A$1:$A$497,0)),"yes","no")</f>
        <v>yes</v>
      </c>
      <c r="E76" s="2" t="s">
        <v>841</v>
      </c>
      <c r="F76" s="2" t="s">
        <v>245</v>
      </c>
      <c r="H76" s="2" t="s">
        <v>246</v>
      </c>
      <c r="I76" s="2" t="s">
        <v>36</v>
      </c>
      <c r="J76" s="2" t="s">
        <v>37</v>
      </c>
      <c r="K76" s="2" t="s">
        <v>38</v>
      </c>
      <c r="L76" s="2" t="s">
        <v>37</v>
      </c>
      <c r="M76" s="2" t="str">
        <f>VLOOKUP(C76,seqConcatenated!$A$1:$B$124,2, FALSE)</f>
        <v>MT119490 and MT119582 are merged</v>
      </c>
      <c r="N76" s="2" t="str">
        <f>IF(ISNA(Table1[[#This Row],[Column2]]),Table1[[#This Row],[comments2]], IF(O76="NA",M76,_xlfn.CONCAT(O76,"--",M76)))</f>
        <v>MT119490 and MT119582 are merged</v>
      </c>
      <c r="O76" s="2" t="s">
        <v>39</v>
      </c>
      <c r="P76" s="2" t="s">
        <v>40</v>
      </c>
      <c r="Q76" s="2" t="s">
        <v>41</v>
      </c>
      <c r="S76" s="2" t="s">
        <v>42</v>
      </c>
      <c r="T76" s="2" t="s">
        <v>43</v>
      </c>
      <c r="U76" s="2" t="s">
        <v>44</v>
      </c>
      <c r="V76" s="2" t="s">
        <v>45</v>
      </c>
      <c r="W76" s="2">
        <v>888</v>
      </c>
      <c r="X76" s="2" t="s">
        <v>46</v>
      </c>
      <c r="Y76" s="2" t="s">
        <v>47</v>
      </c>
      <c r="AA76" s="2" t="s">
        <v>48</v>
      </c>
      <c r="AB76" s="2">
        <v>1</v>
      </c>
      <c r="AC76" s="2" t="s">
        <v>165</v>
      </c>
      <c r="AD76" s="2" t="s">
        <v>50</v>
      </c>
      <c r="AE76" s="4">
        <v>10.1431667</v>
      </c>
      <c r="AF76" s="4">
        <v>-10.60505</v>
      </c>
      <c r="AG76" s="2" t="s">
        <v>51</v>
      </c>
      <c r="AI76" s="2" t="s">
        <v>52</v>
      </c>
      <c r="AJ76" s="2" t="str">
        <f>IF(Table1[[#This Row],[Host]]="Mastomys natalensis", "Mn", IF(Table1[[#This Row],[Host]]="Homo Sapiens","Human","PROBLEMMEMEMMEMEMEMM"))</f>
        <v>Mn</v>
      </c>
      <c r="AK76" s="2" t="s">
        <v>53</v>
      </c>
      <c r="AL76" s="5">
        <v>42384</v>
      </c>
      <c r="AM76" s="6" t="s">
        <v>1056</v>
      </c>
      <c r="AO76" s="2" t="s">
        <v>247</v>
      </c>
    </row>
    <row r="77" spans="1:41" x14ac:dyDescent="0.3">
      <c r="A77" s="2">
        <v>123</v>
      </c>
      <c r="B77" s="2" t="str">
        <f>_xlfn.CONCAT(Table1[[#This Row],[Acession_no_.1]],"|",Table1[[#This Row],[Strain name]],"|",Table1[[#This Row],[host_simple]],"|",Table1[[#This Row],[Country]],"|",Table1[[#This Row],[date_text]])</f>
        <v>MT119582|Dal-78|Mn|Guinea|2016-01-15</v>
      </c>
      <c r="C77" s="2" t="s">
        <v>1272</v>
      </c>
      <c r="D77" s="2" t="str">
        <f>IF(ISNUMBER(MATCH(B77,finalSelection!$A$1:$A$497,0)),"yes","no")</f>
        <v>no</v>
      </c>
      <c r="E77" s="2" t="s">
        <v>842</v>
      </c>
      <c r="F77" s="2" t="s">
        <v>248</v>
      </c>
      <c r="H77" s="2" t="s">
        <v>246</v>
      </c>
      <c r="I77" s="2" t="s">
        <v>56</v>
      </c>
      <c r="J77" s="2" t="s">
        <v>37</v>
      </c>
      <c r="K77" s="2" t="s">
        <v>38</v>
      </c>
      <c r="L77" s="2" t="s">
        <v>37</v>
      </c>
      <c r="M77" s="2" t="str">
        <f>VLOOKUP(C77,seqConcatenated!$A$1:$B$124,2, FALSE)</f>
        <v>MT119490 and MT119582 are merged</v>
      </c>
      <c r="N77" s="2" t="str">
        <f>IF(ISNA(Table1[[#This Row],[Column2]]),Table1[[#This Row],[comments2]], IF(O77="NA",M77,_xlfn.CONCAT(O77,"--",M77)))</f>
        <v>MT119490 and MT119582 are merged</v>
      </c>
      <c r="O77" s="2" t="s">
        <v>39</v>
      </c>
      <c r="P77" s="2" t="s">
        <v>40</v>
      </c>
      <c r="Q77" s="2" t="s">
        <v>41</v>
      </c>
      <c r="S77" s="2" t="s">
        <v>42</v>
      </c>
      <c r="T77" s="2" t="s">
        <v>43</v>
      </c>
      <c r="U77" s="2" t="s">
        <v>44</v>
      </c>
      <c r="V77" s="2" t="s">
        <v>45</v>
      </c>
      <c r="W77" s="2">
        <v>735</v>
      </c>
      <c r="X77" s="2" t="s">
        <v>46</v>
      </c>
      <c r="Y77" s="2" t="s">
        <v>47</v>
      </c>
      <c r="AA77" s="2" t="s">
        <v>48</v>
      </c>
      <c r="AB77" s="2">
        <v>1</v>
      </c>
      <c r="AC77" s="2" t="s">
        <v>165</v>
      </c>
      <c r="AD77" s="2" t="s">
        <v>50</v>
      </c>
      <c r="AE77" s="4">
        <v>10.1431667</v>
      </c>
      <c r="AF77" s="4">
        <v>-10.60505</v>
      </c>
      <c r="AG77" s="2" t="s">
        <v>51</v>
      </c>
      <c r="AI77" s="2" t="s">
        <v>52</v>
      </c>
      <c r="AJ77" s="2" t="str">
        <f>IF(Table1[[#This Row],[Host]]="Mastomys natalensis", "Mn", IF(Table1[[#This Row],[Host]]="Homo Sapiens","Human","PROBLEMMEMEMMEMEMEMM"))</f>
        <v>Mn</v>
      </c>
      <c r="AK77" s="2" t="s">
        <v>53</v>
      </c>
      <c r="AL77" s="5">
        <v>42384</v>
      </c>
      <c r="AM77" s="6" t="s">
        <v>1056</v>
      </c>
      <c r="AO77" s="2" t="s">
        <v>249</v>
      </c>
    </row>
    <row r="78" spans="1:41" x14ac:dyDescent="0.3">
      <c r="A78" s="2">
        <v>32</v>
      </c>
      <c r="B78" s="2" t="str">
        <f>_xlfn.CONCAT(Table1[[#This Row],[Acession_no_.1]],"|",Table1[[#This Row],[Strain name]],"|",Table1[[#This Row],[host_simple]],"|",Table1[[#This Row],[Country]],"|",Table1[[#This Row],[date_text]])</f>
        <v>MT119491|Dal-94|Mn|Guinea|2016-01-16</v>
      </c>
      <c r="C78" s="2" t="s">
        <v>1273</v>
      </c>
      <c r="D78" s="2" t="str">
        <f>IF(ISNUMBER(MATCH(B78,finalSelection!$A$1:$A$497,0)),"yes","no")</f>
        <v>no</v>
      </c>
      <c r="E78" s="2" t="s">
        <v>843</v>
      </c>
      <c r="F78" s="2" t="s">
        <v>250</v>
      </c>
      <c r="H78" s="2" t="s">
        <v>251</v>
      </c>
      <c r="I78" s="2" t="s">
        <v>36</v>
      </c>
      <c r="J78" s="2" t="s">
        <v>37</v>
      </c>
      <c r="K78" s="2" t="s">
        <v>38</v>
      </c>
      <c r="L78" s="2" t="s">
        <v>37</v>
      </c>
      <c r="M78" s="2" t="str">
        <f>VLOOKUP(C78,seqConcatenated!$A$1:$B$124,2, FALSE)</f>
        <v>MT119491 and MT119583 are merged</v>
      </c>
      <c r="N78" s="2" t="str">
        <f>IF(ISNA(Table1[[#This Row],[Column2]]),Table1[[#This Row],[comments2]], IF(O78="NA",M78,_xlfn.CONCAT(O78,"--",M78)))</f>
        <v>MT119491 and MT119583 are merged</v>
      </c>
      <c r="O78" s="2" t="s">
        <v>39</v>
      </c>
      <c r="P78" s="2" t="s">
        <v>40</v>
      </c>
      <c r="Q78" s="2" t="s">
        <v>41</v>
      </c>
      <c r="S78" s="2" t="s">
        <v>42</v>
      </c>
      <c r="T78" s="2" t="s">
        <v>43</v>
      </c>
      <c r="U78" s="2" t="s">
        <v>44</v>
      </c>
      <c r="V78" s="2" t="s">
        <v>45</v>
      </c>
      <c r="W78" s="2">
        <v>888</v>
      </c>
      <c r="X78" s="2" t="s">
        <v>46</v>
      </c>
      <c r="Y78" s="2" t="s">
        <v>47</v>
      </c>
      <c r="AA78" s="2" t="s">
        <v>48</v>
      </c>
      <c r="AB78" s="2">
        <v>1</v>
      </c>
      <c r="AC78" s="2" t="s">
        <v>165</v>
      </c>
      <c r="AD78" s="2" t="s">
        <v>50</v>
      </c>
      <c r="AE78" s="4">
        <v>10.1431667</v>
      </c>
      <c r="AF78" s="4">
        <v>-10.60505</v>
      </c>
      <c r="AG78" s="2" t="s">
        <v>51</v>
      </c>
      <c r="AI78" s="2" t="s">
        <v>52</v>
      </c>
      <c r="AJ78" s="2" t="str">
        <f>IF(Table1[[#This Row],[Host]]="Mastomys natalensis", "Mn", IF(Table1[[#This Row],[Host]]="Homo Sapiens","Human","PROBLEMMEMEMMEMEMEMM"))</f>
        <v>Mn</v>
      </c>
      <c r="AK78" s="2" t="s">
        <v>53</v>
      </c>
      <c r="AL78" s="5">
        <v>42385</v>
      </c>
      <c r="AM78" s="6" t="s">
        <v>1049</v>
      </c>
      <c r="AO78" s="2" t="s">
        <v>252</v>
      </c>
    </row>
    <row r="79" spans="1:41" x14ac:dyDescent="0.3">
      <c r="A79" s="2">
        <v>124</v>
      </c>
      <c r="B79" s="2" t="str">
        <f>_xlfn.CONCAT(Table1[[#This Row],[Acession_no_.1]],"|",Table1[[#This Row],[Strain name]],"|",Table1[[#This Row],[host_simple]],"|",Table1[[#This Row],[Country]],"|",Table1[[#This Row],[date_text]])</f>
        <v>MT119583|Dal-94|Mn|Guinea|2016-01-16</v>
      </c>
      <c r="C79" s="2" t="s">
        <v>1273</v>
      </c>
      <c r="D79" s="2" t="str">
        <f>IF(ISNUMBER(MATCH(B79,finalSelection!$A$1:$A$497,0)),"yes","no")</f>
        <v>no</v>
      </c>
      <c r="E79" s="2" t="s">
        <v>844</v>
      </c>
      <c r="F79" s="2" t="s">
        <v>253</v>
      </c>
      <c r="H79" s="2" t="s">
        <v>251</v>
      </c>
      <c r="I79" s="2" t="s">
        <v>56</v>
      </c>
      <c r="J79" s="2" t="s">
        <v>37</v>
      </c>
      <c r="K79" s="2" t="s">
        <v>38</v>
      </c>
      <c r="L79" s="2" t="s">
        <v>37</v>
      </c>
      <c r="M79" s="2" t="str">
        <f>VLOOKUP(C79,seqConcatenated!$A$1:$B$124,2, FALSE)</f>
        <v>MT119491 and MT119583 are merged</v>
      </c>
      <c r="N79" s="2" t="str">
        <f>IF(ISNA(Table1[[#This Row],[Column2]]),Table1[[#This Row],[comments2]], IF(O79="NA",M79,_xlfn.CONCAT(O79,"--",M79)))</f>
        <v>MT119491 and MT119583 are merged</v>
      </c>
      <c r="O79" s="2" t="s">
        <v>39</v>
      </c>
      <c r="P79" s="2" t="s">
        <v>40</v>
      </c>
      <c r="Q79" s="2" t="s">
        <v>41</v>
      </c>
      <c r="S79" s="2" t="s">
        <v>42</v>
      </c>
      <c r="T79" s="2" t="s">
        <v>43</v>
      </c>
      <c r="U79" s="2" t="s">
        <v>44</v>
      </c>
      <c r="V79" s="2" t="s">
        <v>45</v>
      </c>
      <c r="W79" s="2">
        <v>735</v>
      </c>
      <c r="X79" s="2" t="s">
        <v>46</v>
      </c>
      <c r="Y79" s="2" t="s">
        <v>47</v>
      </c>
      <c r="AA79" s="2" t="s">
        <v>48</v>
      </c>
      <c r="AB79" s="2">
        <v>1</v>
      </c>
      <c r="AC79" s="2" t="s">
        <v>165</v>
      </c>
      <c r="AD79" s="2" t="s">
        <v>50</v>
      </c>
      <c r="AE79" s="4">
        <v>10.1431667</v>
      </c>
      <c r="AF79" s="4">
        <v>-10.60505</v>
      </c>
      <c r="AG79" s="2" t="s">
        <v>51</v>
      </c>
      <c r="AI79" s="2" t="s">
        <v>52</v>
      </c>
      <c r="AJ79" s="2" t="str">
        <f>IF(Table1[[#This Row],[Host]]="Mastomys natalensis", "Mn", IF(Table1[[#This Row],[Host]]="Homo Sapiens","Human","PROBLEMMEMEMMEMEMEMM"))</f>
        <v>Mn</v>
      </c>
      <c r="AK79" s="2" t="s">
        <v>53</v>
      </c>
      <c r="AL79" s="5">
        <v>42385</v>
      </c>
      <c r="AM79" s="6" t="s">
        <v>1049</v>
      </c>
      <c r="AO79" s="2" t="s">
        <v>254</v>
      </c>
    </row>
    <row r="80" spans="1:41" x14ac:dyDescent="0.3">
      <c r="A80" s="2">
        <v>33</v>
      </c>
      <c r="B80" s="2" t="str">
        <f>_xlfn.CONCAT(Table1[[#This Row],[Acession_no_.1]],"|",Table1[[#This Row],[Strain name]],"|",Table1[[#This Row],[host_simple]],"|",Table1[[#This Row],[Country]],"|",Table1[[#This Row],[date_text]])</f>
        <v>MT119492|Dal-97|Mn|Guinea|2016-01-16</v>
      </c>
      <c r="C80" s="2" t="s">
        <v>1274</v>
      </c>
      <c r="D80" s="2" t="str">
        <f>IF(ISNUMBER(MATCH(B80,finalSelection!$A$1:$A$497,0)),"yes","no")</f>
        <v>no</v>
      </c>
      <c r="E80" s="2" t="s">
        <v>845</v>
      </c>
      <c r="F80" s="2" t="s">
        <v>255</v>
      </c>
      <c r="H80" s="2" t="s">
        <v>256</v>
      </c>
      <c r="I80" s="2" t="s">
        <v>36</v>
      </c>
      <c r="J80" s="2" t="s">
        <v>37</v>
      </c>
      <c r="K80" s="2" t="s">
        <v>38</v>
      </c>
      <c r="L80" s="2" t="s">
        <v>37</v>
      </c>
      <c r="M80" s="2" t="str">
        <f>VLOOKUP(C80,seqConcatenated!$A$1:$B$124,2, FALSE)</f>
        <v>MT119492 and MT119584 are merged</v>
      </c>
      <c r="N80" s="2" t="str">
        <f>IF(ISNA(Table1[[#This Row],[Column2]]),Table1[[#This Row],[comments2]], IF(O80="NA",M80,_xlfn.CONCAT(O80,"--",M80)))</f>
        <v>MT119492 and MT119584 are merged</v>
      </c>
      <c r="O80" s="2" t="s">
        <v>39</v>
      </c>
      <c r="P80" s="2" t="s">
        <v>40</v>
      </c>
      <c r="Q80" s="2" t="s">
        <v>41</v>
      </c>
      <c r="S80" s="2" t="s">
        <v>42</v>
      </c>
      <c r="T80" s="2" t="s">
        <v>43</v>
      </c>
      <c r="U80" s="2" t="s">
        <v>44</v>
      </c>
      <c r="V80" s="2" t="s">
        <v>45</v>
      </c>
      <c r="W80" s="2">
        <v>888</v>
      </c>
      <c r="X80" s="2" t="s">
        <v>46</v>
      </c>
      <c r="Y80" s="2" t="s">
        <v>47</v>
      </c>
      <c r="AA80" s="2" t="s">
        <v>48</v>
      </c>
      <c r="AB80" s="2">
        <v>1</v>
      </c>
      <c r="AC80" s="2" t="s">
        <v>165</v>
      </c>
      <c r="AD80" s="2" t="s">
        <v>50</v>
      </c>
      <c r="AE80" s="4">
        <v>10.1431667</v>
      </c>
      <c r="AF80" s="4">
        <v>-10.60505</v>
      </c>
      <c r="AG80" s="2" t="s">
        <v>51</v>
      </c>
      <c r="AI80" s="2" t="s">
        <v>52</v>
      </c>
      <c r="AJ80" s="2" t="str">
        <f>IF(Table1[[#This Row],[Host]]="Mastomys natalensis", "Mn", IF(Table1[[#This Row],[Host]]="Homo Sapiens","Human","PROBLEMMEMEMMEMEMEMM"))</f>
        <v>Mn</v>
      </c>
      <c r="AK80" s="2" t="s">
        <v>53</v>
      </c>
      <c r="AL80" s="5">
        <v>42385</v>
      </c>
      <c r="AM80" s="6" t="s">
        <v>1049</v>
      </c>
      <c r="AO80" s="2" t="s">
        <v>257</v>
      </c>
    </row>
    <row r="81" spans="1:41" x14ac:dyDescent="0.3">
      <c r="A81" s="2">
        <v>125</v>
      </c>
      <c r="B81" s="2" t="str">
        <f>_xlfn.CONCAT(Table1[[#This Row],[Acession_no_.1]],"|",Table1[[#This Row],[Strain name]],"|",Table1[[#This Row],[host_simple]],"|",Table1[[#This Row],[Country]],"|",Table1[[#This Row],[date_text]])</f>
        <v>MT119584|Dal-97|Mn|Guinea|2016-01-16</v>
      </c>
      <c r="C81" s="2" t="s">
        <v>1274</v>
      </c>
      <c r="D81" s="2" t="str">
        <f>IF(ISNUMBER(MATCH(B81,finalSelection!$A$1:$A$497,0)),"yes","no")</f>
        <v>no</v>
      </c>
      <c r="E81" s="2" t="s">
        <v>846</v>
      </c>
      <c r="F81" s="2" t="s">
        <v>258</v>
      </c>
      <c r="H81" s="2" t="s">
        <v>256</v>
      </c>
      <c r="I81" s="2" t="s">
        <v>56</v>
      </c>
      <c r="J81" s="2" t="s">
        <v>37</v>
      </c>
      <c r="K81" s="2" t="s">
        <v>38</v>
      </c>
      <c r="L81" s="2" t="s">
        <v>37</v>
      </c>
      <c r="M81" s="2" t="str">
        <f>VLOOKUP(C81,seqConcatenated!$A$1:$B$124,2, FALSE)</f>
        <v>MT119492 and MT119584 are merged</v>
      </c>
      <c r="N81" s="2" t="str">
        <f>IF(ISNA(Table1[[#This Row],[Column2]]),Table1[[#This Row],[comments2]], IF(O81="NA",M81,_xlfn.CONCAT(O81,"--",M81)))</f>
        <v>MT119492 and MT119584 are merged</v>
      </c>
      <c r="O81" s="2" t="s">
        <v>39</v>
      </c>
      <c r="P81" s="2" t="s">
        <v>40</v>
      </c>
      <c r="Q81" s="2" t="s">
        <v>41</v>
      </c>
      <c r="S81" s="2" t="s">
        <v>42</v>
      </c>
      <c r="T81" s="2" t="s">
        <v>43</v>
      </c>
      <c r="U81" s="2" t="s">
        <v>44</v>
      </c>
      <c r="V81" s="2" t="s">
        <v>45</v>
      </c>
      <c r="W81" s="2">
        <v>735</v>
      </c>
      <c r="X81" s="2" t="s">
        <v>46</v>
      </c>
      <c r="Y81" s="2" t="s">
        <v>47</v>
      </c>
      <c r="AA81" s="2" t="s">
        <v>48</v>
      </c>
      <c r="AB81" s="2">
        <v>1</v>
      </c>
      <c r="AC81" s="2" t="s">
        <v>165</v>
      </c>
      <c r="AD81" s="2" t="s">
        <v>50</v>
      </c>
      <c r="AE81" s="4">
        <v>10.1431667</v>
      </c>
      <c r="AF81" s="4">
        <v>-10.60505</v>
      </c>
      <c r="AG81" s="2" t="s">
        <v>51</v>
      </c>
      <c r="AI81" s="2" t="s">
        <v>52</v>
      </c>
      <c r="AJ81" s="2" t="str">
        <f>IF(Table1[[#This Row],[Host]]="Mastomys natalensis", "Mn", IF(Table1[[#This Row],[Host]]="Homo Sapiens","Human","PROBLEMMEMEMMEMEMEMM"))</f>
        <v>Mn</v>
      </c>
      <c r="AK81" s="2" t="s">
        <v>53</v>
      </c>
      <c r="AL81" s="5">
        <v>42385</v>
      </c>
      <c r="AM81" s="6" t="s">
        <v>1049</v>
      </c>
      <c r="AO81" s="2" t="s">
        <v>259</v>
      </c>
    </row>
    <row r="82" spans="1:41" x14ac:dyDescent="0.3">
      <c r="A82" s="2">
        <v>190</v>
      </c>
      <c r="B82" s="2" t="str">
        <f>_xlfn.CONCAT(Table1[[#This Row],[Acession_no_.1]],"|",Table1[[#This Row],[Strain name]],"|",Table1[[#This Row],[host_simple]],"|",Table1[[#This Row],[Country]],"|",Table1[[#This Row],[date_text]])</f>
        <v>MN123659|Dal02|Mn|Guinea|2013-11-28</v>
      </c>
      <c r="C82" s="2" t="s">
        <v>1275</v>
      </c>
      <c r="D82" s="2" t="str">
        <f>IF(ISNUMBER(MATCH(B82,finalSelection!$A$1:$A$497,0)),"yes","no")</f>
        <v>yes</v>
      </c>
      <c r="E82" s="2" t="s">
        <v>847</v>
      </c>
      <c r="F82" s="2" t="s">
        <v>260</v>
      </c>
      <c r="H82" s="2" t="s">
        <v>261</v>
      </c>
      <c r="I82" s="2" t="s">
        <v>36</v>
      </c>
      <c r="J82" s="2" t="s">
        <v>37</v>
      </c>
      <c r="K82" s="2" t="s">
        <v>38</v>
      </c>
      <c r="L82" s="2" t="s">
        <v>37</v>
      </c>
      <c r="M82" s="2" t="str">
        <f>VLOOKUP(C82,seqConcatenated!$A$1:$B$124,2, FALSE)</f>
        <v>MN123659 and KT833196 are merged</v>
      </c>
      <c r="N82" s="2" t="str">
        <f>IF(ISNA(Table1[[#This Row],[Column2]]),Table1[[#This Row],[comments2]], IF(O82="NA",M82,_xlfn.CONCAT(O82,"--",M82)))</f>
        <v>MN123659 and KT833196 are merged</v>
      </c>
      <c r="O82" s="2" t="s">
        <v>39</v>
      </c>
      <c r="P82" s="2" t="s">
        <v>150</v>
      </c>
      <c r="Q82" s="2" t="s">
        <v>151</v>
      </c>
      <c r="S82" s="2" t="s">
        <v>42</v>
      </c>
      <c r="T82" s="2" t="s">
        <v>43</v>
      </c>
      <c r="U82" s="2" t="s">
        <v>44</v>
      </c>
      <c r="V82" s="2" t="s">
        <v>45</v>
      </c>
      <c r="W82" s="2">
        <v>888</v>
      </c>
      <c r="X82" s="2" t="s">
        <v>46</v>
      </c>
      <c r="Y82" s="2" t="s">
        <v>47</v>
      </c>
      <c r="AA82" s="2" t="s">
        <v>48</v>
      </c>
      <c r="AB82" s="2">
        <v>1</v>
      </c>
      <c r="AC82" s="2" t="s">
        <v>165</v>
      </c>
      <c r="AD82" s="2" t="s">
        <v>50</v>
      </c>
      <c r="AE82" s="4">
        <v>10.1431667</v>
      </c>
      <c r="AF82" s="4">
        <v>-10.60505</v>
      </c>
      <c r="AG82" s="2" t="s">
        <v>51</v>
      </c>
      <c r="AI82" s="2" t="s">
        <v>52</v>
      </c>
      <c r="AJ82" s="2" t="str">
        <f>IF(Table1[[#This Row],[Host]]="Mastomys natalensis", "Mn", IF(Table1[[#This Row],[Host]]="Homo Sapiens","Human","PROBLEMMEMEMMEMEMEMM"))</f>
        <v>Mn</v>
      </c>
      <c r="AK82" s="2" t="s">
        <v>53</v>
      </c>
      <c r="AL82" s="5">
        <v>41606</v>
      </c>
      <c r="AM82" s="6" t="s">
        <v>1048</v>
      </c>
      <c r="AO82" s="2" t="s">
        <v>262</v>
      </c>
    </row>
    <row r="83" spans="1:41" x14ac:dyDescent="0.3">
      <c r="A83" s="2">
        <v>292</v>
      </c>
      <c r="B83" s="2" t="str">
        <f>_xlfn.CONCAT(Table1[[#This Row],[Acession_no_.1]],"|",Table1[[#This Row],[Strain name]],"|",Table1[[#This Row],[host_simple]],"|",Table1[[#This Row],[Country]],"|",Table1[[#This Row],[date_text]])</f>
        <v>KT833196|Dal02|Mn|Guinea|2013-11-28</v>
      </c>
      <c r="C83" s="2" t="s">
        <v>1275</v>
      </c>
      <c r="D83" s="2" t="str">
        <f>IF(ISNUMBER(MATCH(B83,finalSelection!$A$1:$A$497,0)),"yes","no")</f>
        <v>no</v>
      </c>
      <c r="E83" s="2" t="s">
        <v>848</v>
      </c>
      <c r="F83" s="2" t="s">
        <v>263</v>
      </c>
      <c r="H83" s="2" t="s">
        <v>261</v>
      </c>
      <c r="I83" s="2" t="s">
        <v>56</v>
      </c>
      <c r="J83" s="2" t="s">
        <v>154</v>
      </c>
      <c r="K83" s="2" t="s">
        <v>38</v>
      </c>
      <c r="L83" s="2" t="s">
        <v>37</v>
      </c>
      <c r="M83" s="2" t="str">
        <f>VLOOKUP(C83,seqConcatenated!$A$1:$B$124,2, FALSE)</f>
        <v>MN123659 and KT833196 are merged</v>
      </c>
      <c r="N83" s="2" t="str">
        <f>IF(ISNA(Table1[[#This Row],[Column2]]),Table1[[#This Row],[comments2]], IF(O83="NA",M83,_xlfn.CONCAT(O83,"--",M83)))</f>
        <v>MN123659 and KT833196 are merged</v>
      </c>
      <c r="O83" s="2" t="s">
        <v>39</v>
      </c>
      <c r="P83" s="2" t="s">
        <v>155</v>
      </c>
      <c r="Q83" s="2" t="s">
        <v>156</v>
      </c>
      <c r="S83" s="2" t="s">
        <v>42</v>
      </c>
      <c r="T83" s="2" t="s">
        <v>43</v>
      </c>
      <c r="U83" s="2" t="s">
        <v>44</v>
      </c>
      <c r="V83" s="2" t="s">
        <v>45</v>
      </c>
      <c r="W83" s="2">
        <v>754</v>
      </c>
      <c r="X83" s="2" t="s">
        <v>46</v>
      </c>
      <c r="Y83" s="2" t="s">
        <v>47</v>
      </c>
      <c r="AA83" s="2" t="s">
        <v>48</v>
      </c>
      <c r="AB83" s="2">
        <v>1</v>
      </c>
      <c r="AC83" s="2" t="s">
        <v>165</v>
      </c>
      <c r="AD83" s="2" t="s">
        <v>50</v>
      </c>
      <c r="AE83" s="4">
        <v>10.1431667</v>
      </c>
      <c r="AF83" s="4">
        <v>-10.60505</v>
      </c>
      <c r="AG83" s="2" t="s">
        <v>51</v>
      </c>
      <c r="AI83" s="2" t="s">
        <v>52</v>
      </c>
      <c r="AJ83" s="2" t="str">
        <f>IF(Table1[[#This Row],[Host]]="Mastomys natalensis", "Mn", IF(Table1[[#This Row],[Host]]="Homo Sapiens","Human","PROBLEMMEMEMMEMEMEMM"))</f>
        <v>Mn</v>
      </c>
      <c r="AK83" s="2" t="s">
        <v>53</v>
      </c>
      <c r="AL83" s="5">
        <v>41606</v>
      </c>
      <c r="AM83" s="6" t="s">
        <v>1048</v>
      </c>
      <c r="AO83" s="2" t="s">
        <v>264</v>
      </c>
    </row>
    <row r="84" spans="1:41" x14ac:dyDescent="0.3">
      <c r="A84" s="2">
        <v>191</v>
      </c>
      <c r="B84" s="2" t="str">
        <f>_xlfn.CONCAT(Table1[[#This Row],[Acession_no_.1]],"|",Table1[[#This Row],[Strain name]],"|",Table1[[#This Row],[host_simple]],"|",Table1[[#This Row],[Country]],"|",Table1[[#This Row],[date_text]])</f>
        <v>MN123660|Dal04|Mn|Guinea|2013-11-28</v>
      </c>
      <c r="C84" s="2" t="s">
        <v>1276</v>
      </c>
      <c r="D84" s="2" t="str">
        <f>IF(ISNUMBER(MATCH(B84,finalSelection!$A$1:$A$497,0)),"yes","no")</f>
        <v>yes</v>
      </c>
      <c r="E84" s="2" t="s">
        <v>849</v>
      </c>
      <c r="F84" s="2" t="s">
        <v>265</v>
      </c>
      <c r="H84" s="2" t="s">
        <v>266</v>
      </c>
      <c r="I84" s="2" t="s">
        <v>36</v>
      </c>
      <c r="J84" s="2" t="s">
        <v>37</v>
      </c>
      <c r="K84" s="2" t="s">
        <v>38</v>
      </c>
      <c r="L84" s="2" t="s">
        <v>37</v>
      </c>
      <c r="M84" s="2" t="str">
        <f>VLOOKUP(C84,seqConcatenated!$A$1:$B$124,2, FALSE)</f>
        <v>MN123660 and KT833197 are merged</v>
      </c>
      <c r="N84" s="2" t="str">
        <f>IF(ISNA(Table1[[#This Row],[Column2]]),Table1[[#This Row],[comments2]], IF(O84="NA",M84,_xlfn.CONCAT(O84,"--",M84)))</f>
        <v>MN123660 and KT833197 are merged</v>
      </c>
      <c r="O84" s="2" t="s">
        <v>39</v>
      </c>
      <c r="P84" s="2" t="s">
        <v>150</v>
      </c>
      <c r="Q84" s="2" t="s">
        <v>151</v>
      </c>
      <c r="S84" s="2" t="s">
        <v>42</v>
      </c>
      <c r="T84" s="2" t="s">
        <v>43</v>
      </c>
      <c r="U84" s="2" t="s">
        <v>44</v>
      </c>
      <c r="V84" s="2" t="s">
        <v>45</v>
      </c>
      <c r="W84" s="2">
        <v>888</v>
      </c>
      <c r="X84" s="2" t="s">
        <v>46</v>
      </c>
      <c r="Y84" s="2" t="s">
        <v>47</v>
      </c>
      <c r="AA84" s="2" t="s">
        <v>48</v>
      </c>
      <c r="AB84" s="2">
        <v>1</v>
      </c>
      <c r="AC84" s="2" t="s">
        <v>165</v>
      </c>
      <c r="AD84" s="2" t="s">
        <v>50</v>
      </c>
      <c r="AE84" s="4">
        <v>10.1431667</v>
      </c>
      <c r="AF84" s="4">
        <v>-10.60505</v>
      </c>
      <c r="AG84" s="2" t="s">
        <v>51</v>
      </c>
      <c r="AI84" s="2" t="s">
        <v>52</v>
      </c>
      <c r="AJ84" s="2" t="str">
        <f>IF(Table1[[#This Row],[Host]]="Mastomys natalensis", "Mn", IF(Table1[[#This Row],[Host]]="Homo Sapiens","Human","PROBLEMMEMEMMEMEMEMM"))</f>
        <v>Mn</v>
      </c>
      <c r="AK84" s="2" t="s">
        <v>53</v>
      </c>
      <c r="AL84" s="5">
        <v>41606</v>
      </c>
      <c r="AM84" s="6" t="s">
        <v>1048</v>
      </c>
      <c r="AO84" s="2" t="s">
        <v>267</v>
      </c>
    </row>
    <row r="85" spans="1:41" x14ac:dyDescent="0.3">
      <c r="A85" s="2">
        <v>293</v>
      </c>
      <c r="B85" s="2" t="str">
        <f>_xlfn.CONCAT(Table1[[#This Row],[Acession_no_.1]],"|",Table1[[#This Row],[Strain name]],"|",Table1[[#This Row],[host_simple]],"|",Table1[[#This Row],[Country]],"|",Table1[[#This Row],[date_text]])</f>
        <v>KT833197|Dal04|Mn|Guinea|2013-11-28</v>
      </c>
      <c r="C85" s="2" t="s">
        <v>1276</v>
      </c>
      <c r="D85" s="2" t="str">
        <f>IF(ISNUMBER(MATCH(B85,finalSelection!$A$1:$A$497,0)),"yes","no")</f>
        <v>no</v>
      </c>
      <c r="E85" s="2" t="s">
        <v>850</v>
      </c>
      <c r="F85" s="2" t="s">
        <v>268</v>
      </c>
      <c r="H85" s="2" t="s">
        <v>266</v>
      </c>
      <c r="I85" s="2" t="s">
        <v>56</v>
      </c>
      <c r="J85" s="2" t="s">
        <v>154</v>
      </c>
      <c r="K85" s="2" t="s">
        <v>38</v>
      </c>
      <c r="L85" s="2" t="s">
        <v>37</v>
      </c>
      <c r="M85" s="2" t="str">
        <f>VLOOKUP(C85,seqConcatenated!$A$1:$B$124,2, FALSE)</f>
        <v>MN123660 and KT833197 are merged</v>
      </c>
      <c r="N85" s="2" t="str">
        <f>IF(ISNA(Table1[[#This Row],[Column2]]),Table1[[#This Row],[comments2]], IF(O85="NA",M85,_xlfn.CONCAT(O85,"--",M85)))</f>
        <v>MN123660 and KT833197 are merged</v>
      </c>
      <c r="O85" s="2" t="s">
        <v>39</v>
      </c>
      <c r="P85" s="2" t="s">
        <v>155</v>
      </c>
      <c r="Q85" s="2" t="s">
        <v>156</v>
      </c>
      <c r="S85" s="2" t="s">
        <v>42</v>
      </c>
      <c r="T85" s="2" t="s">
        <v>43</v>
      </c>
      <c r="U85" s="2" t="s">
        <v>44</v>
      </c>
      <c r="V85" s="2" t="s">
        <v>45</v>
      </c>
      <c r="W85" s="2">
        <v>754</v>
      </c>
      <c r="X85" s="2" t="s">
        <v>46</v>
      </c>
      <c r="Y85" s="2" t="s">
        <v>47</v>
      </c>
      <c r="AA85" s="2" t="s">
        <v>48</v>
      </c>
      <c r="AB85" s="2">
        <v>1</v>
      </c>
      <c r="AC85" s="2" t="s">
        <v>165</v>
      </c>
      <c r="AD85" s="2" t="s">
        <v>50</v>
      </c>
      <c r="AE85" s="4">
        <v>10.1431667</v>
      </c>
      <c r="AF85" s="4">
        <v>-10.60505</v>
      </c>
      <c r="AG85" s="2" t="s">
        <v>51</v>
      </c>
      <c r="AI85" s="2" t="s">
        <v>52</v>
      </c>
      <c r="AJ85" s="2" t="str">
        <f>IF(Table1[[#This Row],[Host]]="Mastomys natalensis", "Mn", IF(Table1[[#This Row],[Host]]="Homo Sapiens","Human","PROBLEMMEMEMMEMEMEMM"))</f>
        <v>Mn</v>
      </c>
      <c r="AK85" s="2" t="s">
        <v>53</v>
      </c>
      <c r="AL85" s="5">
        <v>41606</v>
      </c>
      <c r="AM85" s="6" t="s">
        <v>1048</v>
      </c>
      <c r="AO85" s="2" t="s">
        <v>269</v>
      </c>
    </row>
    <row r="86" spans="1:41" x14ac:dyDescent="0.3">
      <c r="A86" s="2">
        <v>192</v>
      </c>
      <c r="B86" s="2" t="str">
        <f>_xlfn.CONCAT(Table1[[#This Row],[Acession_no_.1]],"|",Table1[[#This Row],[Strain name]],"|",Table1[[#This Row],[host_simple]],"|",Table1[[#This Row],[Country]],"|",Table1[[#This Row],[date_text]])</f>
        <v>MN123661|Dal11|Mn|Guinea|2013-11-28</v>
      </c>
      <c r="C86" s="2" t="s">
        <v>1277</v>
      </c>
      <c r="D86" s="2" t="str">
        <f>IF(ISNUMBER(MATCH(B86,finalSelection!$A$1:$A$497,0)),"yes","no")</f>
        <v>yes</v>
      </c>
      <c r="E86" s="2" t="s">
        <v>851</v>
      </c>
      <c r="F86" s="2" t="s">
        <v>270</v>
      </c>
      <c r="H86" s="2" t="s">
        <v>271</v>
      </c>
      <c r="I86" s="2" t="s">
        <v>36</v>
      </c>
      <c r="J86" s="2" t="s">
        <v>37</v>
      </c>
      <c r="K86" s="2" t="s">
        <v>38</v>
      </c>
      <c r="L86" s="2" t="s">
        <v>37</v>
      </c>
      <c r="M86" s="2" t="str">
        <f>VLOOKUP(C86,seqConcatenated!$A$1:$B$124,2, FALSE)</f>
        <v>MN123661 and KT833198 are merged</v>
      </c>
      <c r="N86" s="2" t="str">
        <f>IF(ISNA(Table1[[#This Row],[Column2]]),Table1[[#This Row],[comments2]], IF(O86="NA",M86,_xlfn.CONCAT(O86,"--",M86)))</f>
        <v>MN123661 and KT833198 are merged</v>
      </c>
      <c r="O86" s="2" t="s">
        <v>39</v>
      </c>
      <c r="P86" s="2" t="s">
        <v>150</v>
      </c>
      <c r="Q86" s="2" t="s">
        <v>151</v>
      </c>
      <c r="S86" s="2" t="s">
        <v>42</v>
      </c>
      <c r="T86" s="2" t="s">
        <v>43</v>
      </c>
      <c r="U86" s="2" t="s">
        <v>44</v>
      </c>
      <c r="V86" s="2" t="s">
        <v>45</v>
      </c>
      <c r="W86" s="2">
        <v>888</v>
      </c>
      <c r="X86" s="2" t="s">
        <v>46</v>
      </c>
      <c r="Y86" s="2" t="s">
        <v>47</v>
      </c>
      <c r="AA86" s="2" t="s">
        <v>48</v>
      </c>
      <c r="AB86" s="2">
        <v>1</v>
      </c>
      <c r="AC86" s="2" t="s">
        <v>165</v>
      </c>
      <c r="AD86" s="2" t="s">
        <v>50</v>
      </c>
      <c r="AE86" s="4">
        <v>10.1431667</v>
      </c>
      <c r="AF86" s="4">
        <v>-10.60505</v>
      </c>
      <c r="AG86" s="2" t="s">
        <v>51</v>
      </c>
      <c r="AI86" s="2" t="s">
        <v>52</v>
      </c>
      <c r="AJ86" s="2" t="str">
        <f>IF(Table1[[#This Row],[Host]]="Mastomys natalensis", "Mn", IF(Table1[[#This Row],[Host]]="Homo Sapiens","Human","PROBLEMMEMEMMEMEMEMM"))</f>
        <v>Mn</v>
      </c>
      <c r="AK86" s="2" t="s">
        <v>53</v>
      </c>
      <c r="AL86" s="5">
        <v>41606</v>
      </c>
      <c r="AM86" s="6" t="s">
        <v>1048</v>
      </c>
      <c r="AO86" s="2" t="s">
        <v>272</v>
      </c>
    </row>
    <row r="87" spans="1:41" x14ac:dyDescent="0.3">
      <c r="A87" s="2">
        <v>294</v>
      </c>
      <c r="B87" s="2" t="str">
        <f>_xlfn.CONCAT(Table1[[#This Row],[Acession_no_.1]],"|",Table1[[#This Row],[Strain name]],"|",Table1[[#This Row],[host_simple]],"|",Table1[[#This Row],[Country]],"|",Table1[[#This Row],[date_text]])</f>
        <v>KT833198|Dal11|Mn|Guinea|2013-11-28</v>
      </c>
      <c r="C87" s="2" t="s">
        <v>1277</v>
      </c>
      <c r="D87" s="2" t="str">
        <f>IF(ISNUMBER(MATCH(B87,finalSelection!$A$1:$A$497,0)),"yes","no")</f>
        <v>no</v>
      </c>
      <c r="E87" s="2" t="s">
        <v>852</v>
      </c>
      <c r="F87" s="2" t="s">
        <v>273</v>
      </c>
      <c r="H87" s="2" t="s">
        <v>271</v>
      </c>
      <c r="I87" s="2" t="s">
        <v>56</v>
      </c>
      <c r="J87" s="2" t="s">
        <v>154</v>
      </c>
      <c r="K87" s="2" t="s">
        <v>38</v>
      </c>
      <c r="L87" s="2" t="s">
        <v>37</v>
      </c>
      <c r="M87" s="2" t="str">
        <f>VLOOKUP(C87,seqConcatenated!$A$1:$B$124,2, FALSE)</f>
        <v>MN123661 and KT833198 are merged</v>
      </c>
      <c r="N87" s="2" t="str">
        <f>IF(ISNA(Table1[[#This Row],[Column2]]),Table1[[#This Row],[comments2]], IF(O87="NA",M87,_xlfn.CONCAT(O87,"--",M87)))</f>
        <v>MN123661 and KT833198 are merged</v>
      </c>
      <c r="O87" s="2" t="s">
        <v>39</v>
      </c>
      <c r="P87" s="2" t="s">
        <v>155</v>
      </c>
      <c r="Q87" s="2" t="s">
        <v>156</v>
      </c>
      <c r="S87" s="2" t="s">
        <v>42</v>
      </c>
      <c r="T87" s="2" t="s">
        <v>43</v>
      </c>
      <c r="U87" s="2" t="s">
        <v>44</v>
      </c>
      <c r="V87" s="2" t="s">
        <v>45</v>
      </c>
      <c r="W87" s="2">
        <v>754</v>
      </c>
      <c r="X87" s="2" t="s">
        <v>46</v>
      </c>
      <c r="Y87" s="2" t="s">
        <v>47</v>
      </c>
      <c r="AA87" s="2" t="s">
        <v>48</v>
      </c>
      <c r="AB87" s="2">
        <v>1</v>
      </c>
      <c r="AC87" s="2" t="s">
        <v>165</v>
      </c>
      <c r="AD87" s="2" t="s">
        <v>50</v>
      </c>
      <c r="AE87" s="4">
        <v>10.1431667</v>
      </c>
      <c r="AF87" s="4">
        <v>-10.60505</v>
      </c>
      <c r="AG87" s="2" t="s">
        <v>51</v>
      </c>
      <c r="AI87" s="2" t="s">
        <v>52</v>
      </c>
      <c r="AJ87" s="2" t="str">
        <f>IF(Table1[[#This Row],[Host]]="Mastomys natalensis", "Mn", IF(Table1[[#This Row],[Host]]="Homo Sapiens","Human","PROBLEMMEMEMMEMEMEMM"))</f>
        <v>Mn</v>
      </c>
      <c r="AK87" s="2" t="s">
        <v>53</v>
      </c>
      <c r="AL87" s="5">
        <v>41606</v>
      </c>
      <c r="AM87" s="6" t="s">
        <v>1048</v>
      </c>
      <c r="AO87" s="2" t="s">
        <v>274</v>
      </c>
    </row>
    <row r="88" spans="1:41" x14ac:dyDescent="0.3">
      <c r="A88" s="2">
        <v>193</v>
      </c>
      <c r="B88" s="2" t="str">
        <f>_xlfn.CONCAT(Table1[[#This Row],[Acession_no_.1]],"|",Table1[[#This Row],[Strain name]],"|",Table1[[#This Row],[host_simple]],"|",Table1[[#This Row],[Country]],"|",Table1[[#This Row],[date_text]])</f>
        <v>MN123662|Dal17|Mn|Guinea|2013-11-29</v>
      </c>
      <c r="C88" s="2" t="s">
        <v>1278</v>
      </c>
      <c r="D88" s="2" t="str">
        <f>IF(ISNUMBER(MATCH(B88,finalSelection!$A$1:$A$497,0)),"yes","no")</f>
        <v>yes</v>
      </c>
      <c r="E88" s="2" t="s">
        <v>853</v>
      </c>
      <c r="F88" s="2" t="s">
        <v>275</v>
      </c>
      <c r="H88" s="2" t="s">
        <v>276</v>
      </c>
      <c r="I88" s="2" t="s">
        <v>36</v>
      </c>
      <c r="J88" s="2" t="s">
        <v>37</v>
      </c>
      <c r="K88" s="2" t="s">
        <v>38</v>
      </c>
      <c r="L88" s="2" t="s">
        <v>37</v>
      </c>
      <c r="M88" s="2" t="str">
        <f>VLOOKUP(C88,seqConcatenated!$A$1:$B$124,2, FALSE)</f>
        <v>MN123662 and KT833199 are merged</v>
      </c>
      <c r="N88" s="2" t="str">
        <f>IF(ISNA(Table1[[#This Row],[Column2]]),Table1[[#This Row],[comments2]], IF(O88="NA",M88,_xlfn.CONCAT(O88,"--",M88)))</f>
        <v>MN123662 and KT833199 are merged</v>
      </c>
      <c r="O88" s="2" t="s">
        <v>39</v>
      </c>
      <c r="P88" s="2" t="s">
        <v>150</v>
      </c>
      <c r="Q88" s="2" t="s">
        <v>151</v>
      </c>
      <c r="S88" s="2" t="s">
        <v>42</v>
      </c>
      <c r="T88" s="2" t="s">
        <v>43</v>
      </c>
      <c r="U88" s="2" t="s">
        <v>44</v>
      </c>
      <c r="V88" s="2" t="s">
        <v>45</v>
      </c>
      <c r="W88" s="2">
        <v>888</v>
      </c>
      <c r="X88" s="2" t="s">
        <v>46</v>
      </c>
      <c r="Y88" s="2" t="s">
        <v>47</v>
      </c>
      <c r="AA88" s="2" t="s">
        <v>48</v>
      </c>
      <c r="AB88" s="2">
        <v>1</v>
      </c>
      <c r="AC88" s="2" t="s">
        <v>165</v>
      </c>
      <c r="AD88" s="2" t="s">
        <v>50</v>
      </c>
      <c r="AE88" s="4">
        <v>10.1431667</v>
      </c>
      <c r="AF88" s="4">
        <v>-10.60505</v>
      </c>
      <c r="AG88" s="2" t="s">
        <v>51</v>
      </c>
      <c r="AI88" s="2" t="s">
        <v>52</v>
      </c>
      <c r="AJ88" s="2" t="str">
        <f>IF(Table1[[#This Row],[Host]]="Mastomys natalensis", "Mn", IF(Table1[[#This Row],[Host]]="Homo Sapiens","Human","PROBLEMMEMEMMEMEMEMM"))</f>
        <v>Mn</v>
      </c>
      <c r="AK88" s="2" t="s">
        <v>53</v>
      </c>
      <c r="AL88" s="5">
        <v>41607</v>
      </c>
      <c r="AM88" s="6" t="s">
        <v>1057</v>
      </c>
      <c r="AO88" s="2" t="s">
        <v>277</v>
      </c>
    </row>
    <row r="89" spans="1:41" x14ac:dyDescent="0.3">
      <c r="A89" s="2">
        <v>295</v>
      </c>
      <c r="B89" s="2" t="str">
        <f>_xlfn.CONCAT(Table1[[#This Row],[Acession_no_.1]],"|",Table1[[#This Row],[Strain name]],"|",Table1[[#This Row],[host_simple]],"|",Table1[[#This Row],[Country]],"|",Table1[[#This Row],[date_text]])</f>
        <v>KT833199|Dal17|Mn|Guinea|2013-11-29</v>
      </c>
      <c r="C89" s="2" t="s">
        <v>1278</v>
      </c>
      <c r="D89" s="2" t="str">
        <f>IF(ISNUMBER(MATCH(B89,finalSelection!$A$1:$A$497,0)),"yes","no")</f>
        <v>no</v>
      </c>
      <c r="E89" s="2" t="s">
        <v>854</v>
      </c>
      <c r="F89" s="2" t="s">
        <v>278</v>
      </c>
      <c r="H89" s="2" t="s">
        <v>276</v>
      </c>
      <c r="I89" s="2" t="s">
        <v>56</v>
      </c>
      <c r="J89" s="2" t="s">
        <v>279</v>
      </c>
      <c r="K89" s="2" t="s">
        <v>38</v>
      </c>
      <c r="L89" s="2" t="s">
        <v>37</v>
      </c>
      <c r="M89" s="2" t="str">
        <f>VLOOKUP(C89,seqConcatenated!$A$1:$B$124,2, FALSE)</f>
        <v>MN123662 and KT833199 are merged</v>
      </c>
      <c r="N89" s="2" t="str">
        <f>IF(ISNA(Table1[[#This Row],[Column2]]),Table1[[#This Row],[comments2]], IF(O89="NA",M89,_xlfn.CONCAT(O89,"--",M89)))</f>
        <v>MN123662 and KT833199 are merged</v>
      </c>
      <c r="O89" s="2" t="s">
        <v>39</v>
      </c>
      <c r="P89" s="2" t="s">
        <v>155</v>
      </c>
      <c r="Q89" s="2" t="s">
        <v>156</v>
      </c>
      <c r="S89" s="2" t="s">
        <v>42</v>
      </c>
      <c r="T89" s="2" t="s">
        <v>43</v>
      </c>
      <c r="U89" s="2" t="s">
        <v>44</v>
      </c>
      <c r="V89" s="2" t="s">
        <v>45</v>
      </c>
      <c r="W89" s="2">
        <v>754</v>
      </c>
      <c r="X89" s="2" t="s">
        <v>46</v>
      </c>
      <c r="Y89" s="2" t="s">
        <v>47</v>
      </c>
      <c r="AA89" s="2" t="s">
        <v>48</v>
      </c>
      <c r="AB89" s="2">
        <v>1</v>
      </c>
      <c r="AC89" s="2" t="s">
        <v>165</v>
      </c>
      <c r="AD89" s="2" t="s">
        <v>50</v>
      </c>
      <c r="AE89" s="4">
        <v>10.1431667</v>
      </c>
      <c r="AF89" s="4">
        <v>-10.60505</v>
      </c>
      <c r="AG89" s="2" t="s">
        <v>51</v>
      </c>
      <c r="AI89" s="2" t="s">
        <v>52</v>
      </c>
      <c r="AJ89" s="2" t="str">
        <f>IF(Table1[[#This Row],[Host]]="Mastomys natalensis", "Mn", IF(Table1[[#This Row],[Host]]="Homo Sapiens","Human","PROBLEMMEMEMMEMEMEMM"))</f>
        <v>Mn</v>
      </c>
      <c r="AK89" s="2" t="s">
        <v>53</v>
      </c>
      <c r="AL89" s="5">
        <v>41607</v>
      </c>
      <c r="AM89" s="6" t="s">
        <v>1057</v>
      </c>
      <c r="AO89" s="2" t="s">
        <v>280</v>
      </c>
    </row>
    <row r="90" spans="1:41" x14ac:dyDescent="0.3">
      <c r="A90" s="2">
        <v>194</v>
      </c>
      <c r="B90" s="2" t="str">
        <f>_xlfn.CONCAT(Table1[[#This Row],[Acession_no_.1]],"|",Table1[[#This Row],[Strain name]],"|",Table1[[#This Row],[host_simple]],"|",Table1[[#This Row],[Country]],"|",Table1[[#This Row],[date_text]])</f>
        <v>MN123663|Dal25|Mn|Guinea|2013-11-29</v>
      </c>
      <c r="C90" s="2" t="s">
        <v>1279</v>
      </c>
      <c r="D90" s="2" t="str">
        <f>IF(ISNUMBER(MATCH(B90,finalSelection!$A$1:$A$497,0)),"yes","no")</f>
        <v>yes</v>
      </c>
      <c r="E90" s="2" t="s">
        <v>855</v>
      </c>
      <c r="F90" s="2" t="s">
        <v>281</v>
      </c>
      <c r="H90" s="2" t="s">
        <v>282</v>
      </c>
      <c r="I90" s="2" t="s">
        <v>36</v>
      </c>
      <c r="J90" s="2" t="s">
        <v>37</v>
      </c>
      <c r="K90" s="2" t="s">
        <v>38</v>
      </c>
      <c r="L90" s="2" t="s">
        <v>37</v>
      </c>
      <c r="M90" s="2" t="str">
        <f>VLOOKUP(C90,seqConcatenated!$A$1:$B$124,2, FALSE)</f>
        <v>MN123663 and KT833200 are merged</v>
      </c>
      <c r="N90" s="2" t="str">
        <f>IF(ISNA(Table1[[#This Row],[Column2]]),Table1[[#This Row],[comments2]], IF(O90="NA",M90,_xlfn.CONCAT(O90,"--",M90)))</f>
        <v>MN123663 and KT833200 are merged</v>
      </c>
      <c r="O90" s="2" t="s">
        <v>39</v>
      </c>
      <c r="P90" s="2" t="s">
        <v>150</v>
      </c>
      <c r="Q90" s="2" t="s">
        <v>151</v>
      </c>
      <c r="S90" s="2" t="s">
        <v>42</v>
      </c>
      <c r="T90" s="2" t="s">
        <v>43</v>
      </c>
      <c r="U90" s="2" t="s">
        <v>44</v>
      </c>
      <c r="V90" s="2" t="s">
        <v>45</v>
      </c>
      <c r="W90" s="2">
        <v>888</v>
      </c>
      <c r="X90" s="2" t="s">
        <v>46</v>
      </c>
      <c r="Y90" s="2" t="s">
        <v>47</v>
      </c>
      <c r="AA90" s="2" t="s">
        <v>48</v>
      </c>
      <c r="AB90" s="2">
        <v>1</v>
      </c>
      <c r="AC90" s="2" t="s">
        <v>165</v>
      </c>
      <c r="AD90" s="2" t="s">
        <v>50</v>
      </c>
      <c r="AE90" s="4">
        <v>10.1431667</v>
      </c>
      <c r="AF90" s="4">
        <v>-10.60505</v>
      </c>
      <c r="AG90" s="2" t="s">
        <v>51</v>
      </c>
      <c r="AI90" s="2" t="s">
        <v>52</v>
      </c>
      <c r="AJ90" s="2" t="str">
        <f>IF(Table1[[#This Row],[Host]]="Mastomys natalensis", "Mn", IF(Table1[[#This Row],[Host]]="Homo Sapiens","Human","PROBLEMMEMEMMEMEMEMM"))</f>
        <v>Mn</v>
      </c>
      <c r="AK90" s="2" t="s">
        <v>53</v>
      </c>
      <c r="AL90" s="5">
        <v>41607</v>
      </c>
      <c r="AM90" s="6" t="s">
        <v>1057</v>
      </c>
      <c r="AO90" s="2" t="s">
        <v>283</v>
      </c>
    </row>
    <row r="91" spans="1:41" x14ac:dyDescent="0.3">
      <c r="A91" s="2">
        <v>296</v>
      </c>
      <c r="B91" s="2" t="str">
        <f>_xlfn.CONCAT(Table1[[#This Row],[Acession_no_.1]],"|",Table1[[#This Row],[Strain name]],"|",Table1[[#This Row],[host_simple]],"|",Table1[[#This Row],[Country]],"|",Table1[[#This Row],[date_text]])</f>
        <v>KT833200|Dal25|Mn|Guinea|2013-11-29</v>
      </c>
      <c r="C91" s="2" t="s">
        <v>1279</v>
      </c>
      <c r="D91" s="2" t="str">
        <f>IF(ISNUMBER(MATCH(B91,finalSelection!$A$1:$A$497,0)),"yes","no")</f>
        <v>no</v>
      </c>
      <c r="E91" s="2" t="s">
        <v>856</v>
      </c>
      <c r="F91" s="2" t="s">
        <v>284</v>
      </c>
      <c r="H91" s="2" t="s">
        <v>282</v>
      </c>
      <c r="I91" s="2" t="s">
        <v>56</v>
      </c>
      <c r="J91" s="2" t="s">
        <v>154</v>
      </c>
      <c r="K91" s="2" t="s">
        <v>38</v>
      </c>
      <c r="L91" s="2" t="s">
        <v>37</v>
      </c>
      <c r="M91" s="2" t="str">
        <f>VLOOKUP(C91,seqConcatenated!$A$1:$B$124,2, FALSE)</f>
        <v>MN123663 and KT833200 are merged</v>
      </c>
      <c r="N91" s="2" t="str">
        <f>IF(ISNA(Table1[[#This Row],[Column2]]),Table1[[#This Row],[comments2]], IF(O91="NA",M91,_xlfn.CONCAT(O91,"--",M91)))</f>
        <v>MN123663 and KT833200 are merged</v>
      </c>
      <c r="O91" s="2" t="s">
        <v>39</v>
      </c>
      <c r="P91" s="2" t="s">
        <v>155</v>
      </c>
      <c r="Q91" s="2" t="s">
        <v>156</v>
      </c>
      <c r="S91" s="2" t="s">
        <v>42</v>
      </c>
      <c r="T91" s="2" t="s">
        <v>43</v>
      </c>
      <c r="U91" s="2" t="s">
        <v>44</v>
      </c>
      <c r="V91" s="2" t="s">
        <v>45</v>
      </c>
      <c r="W91" s="2">
        <v>754</v>
      </c>
      <c r="X91" s="2" t="s">
        <v>46</v>
      </c>
      <c r="Y91" s="2" t="s">
        <v>47</v>
      </c>
      <c r="AA91" s="2" t="s">
        <v>48</v>
      </c>
      <c r="AB91" s="2">
        <v>1</v>
      </c>
      <c r="AC91" s="2" t="s">
        <v>165</v>
      </c>
      <c r="AD91" s="2" t="s">
        <v>50</v>
      </c>
      <c r="AE91" s="4">
        <v>10.1431667</v>
      </c>
      <c r="AF91" s="4">
        <v>-10.60505</v>
      </c>
      <c r="AG91" s="2" t="s">
        <v>51</v>
      </c>
      <c r="AI91" s="2" t="s">
        <v>52</v>
      </c>
      <c r="AJ91" s="2" t="str">
        <f>IF(Table1[[#This Row],[Host]]="Mastomys natalensis", "Mn", IF(Table1[[#This Row],[Host]]="Homo Sapiens","Human","PROBLEMMEMEMMEMEMEMM"))</f>
        <v>Mn</v>
      </c>
      <c r="AK91" s="2" t="s">
        <v>53</v>
      </c>
      <c r="AL91" s="5">
        <v>41607</v>
      </c>
      <c r="AM91" s="6" t="s">
        <v>1057</v>
      </c>
      <c r="AO91" s="2" t="s">
        <v>285</v>
      </c>
    </row>
    <row r="92" spans="1:41" x14ac:dyDescent="0.3">
      <c r="A92" s="2">
        <v>195</v>
      </c>
      <c r="B92" s="2" t="str">
        <f>_xlfn.CONCAT(Table1[[#This Row],[Acession_no_.1]],"|",Table1[[#This Row],[Strain name]],"|",Table1[[#This Row],[host_simple]],"|",Table1[[#This Row],[Country]],"|",Table1[[#This Row],[date_text]])</f>
        <v>MN123664|Dal53|Mn|Guinea|2014-04-19</v>
      </c>
      <c r="C92" s="2" t="s">
        <v>1280</v>
      </c>
      <c r="D92" s="2" t="str">
        <f>IF(ISNUMBER(MATCH(B92,finalSelection!$A$1:$A$497,0)),"yes","no")</f>
        <v>yes</v>
      </c>
      <c r="E92" s="2" t="s">
        <v>857</v>
      </c>
      <c r="F92" s="2" t="s">
        <v>286</v>
      </c>
      <c r="H92" s="2" t="s">
        <v>287</v>
      </c>
      <c r="I92" s="2" t="s">
        <v>36</v>
      </c>
      <c r="J92" s="2" t="s">
        <v>37</v>
      </c>
      <c r="K92" s="2" t="s">
        <v>38</v>
      </c>
      <c r="L92" s="2" t="s">
        <v>37</v>
      </c>
      <c r="M92" s="2" t="str">
        <f>VLOOKUP(C92,seqConcatenated!$A$1:$B$124,2, FALSE)</f>
        <v>MN123664 and KT833222 are merged</v>
      </c>
      <c r="N92" s="2" t="str">
        <f>IF(ISNA(Table1[[#This Row],[Column2]]),Table1[[#This Row],[comments2]], IF(O92="NA",M92,_xlfn.CONCAT(O92,"--",M92)))</f>
        <v>MN123664 and KT833222 are merged</v>
      </c>
      <c r="O92" s="2" t="s">
        <v>39</v>
      </c>
      <c r="P92" s="2" t="s">
        <v>150</v>
      </c>
      <c r="Q92" s="2" t="s">
        <v>151</v>
      </c>
      <c r="S92" s="2" t="s">
        <v>42</v>
      </c>
      <c r="T92" s="2" t="s">
        <v>43</v>
      </c>
      <c r="U92" s="2" t="s">
        <v>44</v>
      </c>
      <c r="V92" s="2" t="s">
        <v>45</v>
      </c>
      <c r="W92" s="2">
        <v>888</v>
      </c>
      <c r="X92" s="2" t="s">
        <v>46</v>
      </c>
      <c r="Y92" s="2" t="s">
        <v>47</v>
      </c>
      <c r="AA92" s="2" t="s">
        <v>48</v>
      </c>
      <c r="AB92" s="2">
        <v>1</v>
      </c>
      <c r="AC92" s="2" t="s">
        <v>165</v>
      </c>
      <c r="AD92" s="2" t="s">
        <v>50</v>
      </c>
      <c r="AE92" s="4">
        <v>10.1431667</v>
      </c>
      <c r="AF92" s="4">
        <v>-10.60505</v>
      </c>
      <c r="AG92" s="2" t="s">
        <v>51</v>
      </c>
      <c r="AI92" s="2" t="s">
        <v>52</v>
      </c>
      <c r="AJ92" s="2" t="str">
        <f>IF(Table1[[#This Row],[Host]]="Mastomys natalensis", "Mn", IF(Table1[[#This Row],[Host]]="Homo Sapiens","Human","PROBLEMMEMEMMEMEMEMM"))</f>
        <v>Mn</v>
      </c>
      <c r="AK92" s="2" t="s">
        <v>53</v>
      </c>
      <c r="AL92" s="5">
        <v>41748</v>
      </c>
      <c r="AM92" s="6" t="s">
        <v>1058</v>
      </c>
      <c r="AO92" s="2" t="s">
        <v>288</v>
      </c>
    </row>
    <row r="93" spans="1:41" x14ac:dyDescent="0.3">
      <c r="A93" s="2">
        <v>318</v>
      </c>
      <c r="B93" s="2" t="str">
        <f>_xlfn.CONCAT(Table1[[#This Row],[Acession_no_.1]],"|",Table1[[#This Row],[Strain name]],"|",Table1[[#This Row],[host_simple]],"|",Table1[[#This Row],[Country]],"|",Table1[[#This Row],[date_text]])</f>
        <v>KT833222|Dal53|Mn|Guinea|2014-04-19</v>
      </c>
      <c r="C93" s="2" t="s">
        <v>1280</v>
      </c>
      <c r="D93" s="2" t="str">
        <f>IF(ISNUMBER(MATCH(B93,finalSelection!$A$1:$A$497,0)),"yes","no")</f>
        <v>no</v>
      </c>
      <c r="E93" s="2" t="s">
        <v>858</v>
      </c>
      <c r="F93" s="2" t="s">
        <v>289</v>
      </c>
      <c r="H93" s="2" t="s">
        <v>287</v>
      </c>
      <c r="I93" s="2" t="s">
        <v>56</v>
      </c>
      <c r="J93" s="2" t="s">
        <v>279</v>
      </c>
      <c r="K93" s="2" t="s">
        <v>38</v>
      </c>
      <c r="L93" s="2" t="s">
        <v>37</v>
      </c>
      <c r="M93" s="2" t="str">
        <f>VLOOKUP(C93,seqConcatenated!$A$1:$B$124,2, FALSE)</f>
        <v>MN123664 and KT833222 are merged</v>
      </c>
      <c r="N93" s="2" t="str">
        <f>IF(ISNA(Table1[[#This Row],[Column2]]),Table1[[#This Row],[comments2]], IF(O93="NA",M93,_xlfn.CONCAT(O93,"--",M93)))</f>
        <v>MN123664 and KT833222 are merged</v>
      </c>
      <c r="O93" s="2" t="s">
        <v>39</v>
      </c>
      <c r="P93" s="2" t="s">
        <v>155</v>
      </c>
      <c r="Q93" s="2" t="s">
        <v>156</v>
      </c>
      <c r="S93" s="2" t="s">
        <v>42</v>
      </c>
      <c r="T93" s="2" t="s">
        <v>43</v>
      </c>
      <c r="U93" s="2" t="s">
        <v>44</v>
      </c>
      <c r="V93" s="2" t="s">
        <v>45</v>
      </c>
      <c r="W93" s="2">
        <v>754</v>
      </c>
      <c r="X93" s="2" t="s">
        <v>46</v>
      </c>
      <c r="Y93" s="2" t="s">
        <v>47</v>
      </c>
      <c r="AA93" s="2" t="s">
        <v>48</v>
      </c>
      <c r="AB93" s="2">
        <v>1</v>
      </c>
      <c r="AC93" s="2" t="s">
        <v>165</v>
      </c>
      <c r="AD93" s="2" t="s">
        <v>50</v>
      </c>
      <c r="AE93" s="4">
        <v>10.1431667</v>
      </c>
      <c r="AF93" s="4">
        <v>-10.60505</v>
      </c>
      <c r="AG93" s="2" t="s">
        <v>51</v>
      </c>
      <c r="AI93" s="2" t="s">
        <v>52</v>
      </c>
      <c r="AJ93" s="2" t="str">
        <f>IF(Table1[[#This Row],[Host]]="Mastomys natalensis", "Mn", IF(Table1[[#This Row],[Host]]="Homo Sapiens","Human","PROBLEMMEMEMMEMEMEMM"))</f>
        <v>Mn</v>
      </c>
      <c r="AK93" s="2" t="s">
        <v>53</v>
      </c>
      <c r="AL93" s="5">
        <v>41748</v>
      </c>
      <c r="AM93" s="6" t="s">
        <v>1058</v>
      </c>
      <c r="AO93" s="2" t="s">
        <v>290</v>
      </c>
    </row>
    <row r="94" spans="1:41" x14ac:dyDescent="0.3">
      <c r="A94" s="2">
        <v>53</v>
      </c>
      <c r="B94" s="2" t="str">
        <f>_xlfn.CONCAT(Table1[[#This Row],[Acession_no_.1]],"|",Table1[[#This Row],[Strain name]],"|",Table1[[#This Row],[host_simple]],"|",Table1[[#This Row],[Country]],"|",Table1[[#This Row],[date_text]])</f>
        <v>MT119512|Dam-119|Mn|Guinea|2015-04-18</v>
      </c>
      <c r="C94" s="2" t="s">
        <v>1281</v>
      </c>
      <c r="D94" s="2" t="str">
        <f>IF(ISNUMBER(MATCH(B94,finalSelection!$A$1:$A$497,0)),"yes","no")</f>
        <v>yes</v>
      </c>
      <c r="E94" s="2" t="s">
        <v>859</v>
      </c>
      <c r="F94" s="2" t="s">
        <v>291</v>
      </c>
      <c r="H94" s="2" t="s">
        <v>292</v>
      </c>
      <c r="I94" s="2" t="s">
        <v>36</v>
      </c>
      <c r="J94" s="2" t="s">
        <v>37</v>
      </c>
      <c r="K94" s="2" t="s">
        <v>38</v>
      </c>
      <c r="L94" s="2" t="s">
        <v>37</v>
      </c>
      <c r="M94" s="2" t="str">
        <f>VLOOKUP(C94,seqConcatenated!$A$1:$B$124,2, FALSE)</f>
        <v>MT119512 and MT119598 are merged</v>
      </c>
      <c r="N94" s="2" t="str">
        <f>IF(ISNA(Table1[[#This Row],[Column2]]),Table1[[#This Row],[comments2]], IF(O94="NA",M94,_xlfn.CONCAT(O94,"--",M94)))</f>
        <v>MT119512 and MT119598 are merged</v>
      </c>
      <c r="O94" s="2" t="s">
        <v>39</v>
      </c>
      <c r="P94" s="2" t="s">
        <v>40</v>
      </c>
      <c r="Q94" s="2" t="s">
        <v>41</v>
      </c>
      <c r="S94" s="2" t="s">
        <v>42</v>
      </c>
      <c r="T94" s="2" t="s">
        <v>43</v>
      </c>
      <c r="U94" s="2" t="s">
        <v>44</v>
      </c>
      <c r="V94" s="2" t="s">
        <v>45</v>
      </c>
      <c r="W94" s="2">
        <v>888</v>
      </c>
      <c r="X94" s="2" t="s">
        <v>46</v>
      </c>
      <c r="Y94" s="2" t="s">
        <v>47</v>
      </c>
      <c r="AA94" s="2" t="s">
        <v>48</v>
      </c>
      <c r="AB94" s="2">
        <v>1</v>
      </c>
      <c r="AC94" s="2" t="s">
        <v>293</v>
      </c>
      <c r="AD94" s="2" t="s">
        <v>50</v>
      </c>
      <c r="AE94" s="4">
        <v>9.8068329999999992</v>
      </c>
      <c r="AF94" s="4">
        <v>-10.863267</v>
      </c>
      <c r="AG94" s="2" t="s">
        <v>51</v>
      </c>
      <c r="AI94" s="2" t="s">
        <v>52</v>
      </c>
      <c r="AJ94" s="2" t="str">
        <f>IF(Table1[[#This Row],[Host]]="Mastomys natalensis", "Mn", IF(Table1[[#This Row],[Host]]="Homo Sapiens","Human","PROBLEMMEMEMMEMEMEMM"))</f>
        <v>Mn</v>
      </c>
      <c r="AK94" s="2" t="s">
        <v>53</v>
      </c>
      <c r="AL94" s="5">
        <v>42112</v>
      </c>
      <c r="AM94" s="6" t="s">
        <v>1059</v>
      </c>
      <c r="AO94" s="2" t="s">
        <v>294</v>
      </c>
    </row>
    <row r="95" spans="1:41" x14ac:dyDescent="0.3">
      <c r="A95" s="2">
        <v>139</v>
      </c>
      <c r="B95" s="2" t="str">
        <f>_xlfn.CONCAT(Table1[[#This Row],[Acession_no_.1]],"|",Table1[[#This Row],[Strain name]],"|",Table1[[#This Row],[host_simple]],"|",Table1[[#This Row],[Country]],"|",Table1[[#This Row],[date_text]])</f>
        <v>MT119598|Dam-119|Mn|Guinea|2015-04-18</v>
      </c>
      <c r="C95" s="2" t="s">
        <v>1281</v>
      </c>
      <c r="D95" s="2" t="str">
        <f>IF(ISNUMBER(MATCH(B95,finalSelection!$A$1:$A$497,0)),"yes","no")</f>
        <v>no</v>
      </c>
      <c r="E95" s="2" t="s">
        <v>860</v>
      </c>
      <c r="F95" s="2" t="s">
        <v>295</v>
      </c>
      <c r="H95" s="2" t="s">
        <v>292</v>
      </c>
      <c r="I95" s="2" t="s">
        <v>56</v>
      </c>
      <c r="J95" s="2" t="s">
        <v>37</v>
      </c>
      <c r="K95" s="2" t="s">
        <v>38</v>
      </c>
      <c r="L95" s="2" t="s">
        <v>37</v>
      </c>
      <c r="M95" s="2" t="str">
        <f>VLOOKUP(C95,seqConcatenated!$A$1:$B$124,2, FALSE)</f>
        <v>MT119512 and MT119598 are merged</v>
      </c>
      <c r="N95" s="2" t="str">
        <f>IF(ISNA(Table1[[#This Row],[Column2]]),Table1[[#This Row],[comments2]], IF(O95="NA",M95,_xlfn.CONCAT(O95,"--",M95)))</f>
        <v>MT119512 and MT119598 are merged</v>
      </c>
      <c r="O95" s="2" t="s">
        <v>39</v>
      </c>
      <c r="P95" s="2" t="s">
        <v>40</v>
      </c>
      <c r="Q95" s="2" t="s">
        <v>41</v>
      </c>
      <c r="S95" s="2" t="s">
        <v>42</v>
      </c>
      <c r="T95" s="2" t="s">
        <v>43</v>
      </c>
      <c r="U95" s="2" t="s">
        <v>44</v>
      </c>
      <c r="V95" s="2" t="s">
        <v>45</v>
      </c>
      <c r="W95" s="2">
        <v>735</v>
      </c>
      <c r="X95" s="2" t="s">
        <v>46</v>
      </c>
      <c r="Y95" s="2" t="s">
        <v>47</v>
      </c>
      <c r="AA95" s="2" t="s">
        <v>48</v>
      </c>
      <c r="AB95" s="2">
        <v>1</v>
      </c>
      <c r="AC95" s="2" t="s">
        <v>293</v>
      </c>
      <c r="AD95" s="2" t="s">
        <v>50</v>
      </c>
      <c r="AE95" s="4">
        <v>9.8068329999999992</v>
      </c>
      <c r="AF95" s="4">
        <v>-10.863267</v>
      </c>
      <c r="AG95" s="2" t="s">
        <v>51</v>
      </c>
      <c r="AI95" s="2" t="s">
        <v>52</v>
      </c>
      <c r="AJ95" s="2" t="str">
        <f>IF(Table1[[#This Row],[Host]]="Mastomys natalensis", "Mn", IF(Table1[[#This Row],[Host]]="Homo Sapiens","Human","PROBLEMMEMEMMEMEMEMM"))</f>
        <v>Mn</v>
      </c>
      <c r="AK95" s="2" t="s">
        <v>53</v>
      </c>
      <c r="AL95" s="5">
        <v>42112</v>
      </c>
      <c r="AM95" s="6" t="s">
        <v>1059</v>
      </c>
      <c r="AO95" s="2" t="s">
        <v>296</v>
      </c>
    </row>
    <row r="96" spans="1:41" x14ac:dyDescent="0.3">
      <c r="A96" s="2">
        <v>54</v>
      </c>
      <c r="B96" s="2" t="str">
        <f>_xlfn.CONCAT(Table1[[#This Row],[Acession_no_.1]],"|",Table1[[#This Row],[Strain name]],"|",Table1[[#This Row],[host_simple]],"|",Table1[[#This Row],[Country]],"|",Table1[[#This Row],[date_text]])</f>
        <v>MT119513|Dam-127|Mn|Guinea|2015-04-19</v>
      </c>
      <c r="C96" s="2" t="s">
        <v>1282</v>
      </c>
      <c r="D96" s="2" t="str">
        <f>IF(ISNUMBER(MATCH(B96,finalSelection!$A$1:$A$497,0)),"yes","no")</f>
        <v>yes</v>
      </c>
      <c r="E96" s="2" t="s">
        <v>861</v>
      </c>
      <c r="F96" s="2" t="s">
        <v>297</v>
      </c>
      <c r="H96" s="2" t="s">
        <v>298</v>
      </c>
      <c r="I96" s="2" t="s">
        <v>36</v>
      </c>
      <c r="J96" s="2" t="s">
        <v>37</v>
      </c>
      <c r="K96" s="2" t="s">
        <v>38</v>
      </c>
      <c r="L96" s="2" t="s">
        <v>37</v>
      </c>
      <c r="M96" s="2" t="str">
        <f>VLOOKUP(C96,seqConcatenated!$A$1:$B$124,2, FALSE)</f>
        <v>MT119513 and MT119599 are merged</v>
      </c>
      <c r="N96" s="2" t="str">
        <f>IF(ISNA(Table1[[#This Row],[Column2]]),Table1[[#This Row],[comments2]], IF(O96="NA",M96,_xlfn.CONCAT(O96,"--",M96)))</f>
        <v>MT119513 and MT119599 are merged</v>
      </c>
      <c r="O96" s="2" t="s">
        <v>39</v>
      </c>
      <c r="P96" s="2" t="s">
        <v>40</v>
      </c>
      <c r="Q96" s="2" t="s">
        <v>41</v>
      </c>
      <c r="S96" s="2" t="s">
        <v>42</v>
      </c>
      <c r="T96" s="2" t="s">
        <v>43</v>
      </c>
      <c r="U96" s="2" t="s">
        <v>44</v>
      </c>
      <c r="V96" s="2" t="s">
        <v>45</v>
      </c>
      <c r="W96" s="2">
        <v>888</v>
      </c>
      <c r="X96" s="2" t="s">
        <v>46</v>
      </c>
      <c r="Y96" s="2" t="s">
        <v>47</v>
      </c>
      <c r="AA96" s="2" t="s">
        <v>48</v>
      </c>
      <c r="AB96" s="2">
        <v>1</v>
      </c>
      <c r="AC96" s="2" t="s">
        <v>293</v>
      </c>
      <c r="AD96" s="2" t="s">
        <v>50</v>
      </c>
      <c r="AE96" s="4">
        <v>9.8068329999999992</v>
      </c>
      <c r="AF96" s="4">
        <v>-10.863267</v>
      </c>
      <c r="AG96" s="2" t="s">
        <v>51</v>
      </c>
      <c r="AI96" s="2" t="s">
        <v>52</v>
      </c>
      <c r="AJ96" s="2" t="str">
        <f>IF(Table1[[#This Row],[Host]]="Mastomys natalensis", "Mn", IF(Table1[[#This Row],[Host]]="Homo Sapiens","Human","PROBLEMMEMEMMEMEMEMM"))</f>
        <v>Mn</v>
      </c>
      <c r="AK96" s="2" t="s">
        <v>53</v>
      </c>
      <c r="AL96" s="5">
        <v>42113</v>
      </c>
      <c r="AM96" s="6" t="s">
        <v>1060</v>
      </c>
      <c r="AO96" s="2" t="s">
        <v>299</v>
      </c>
    </row>
    <row r="97" spans="1:41" x14ac:dyDescent="0.3">
      <c r="A97" s="2">
        <v>140</v>
      </c>
      <c r="B97" s="2" t="str">
        <f>_xlfn.CONCAT(Table1[[#This Row],[Acession_no_.1]],"|",Table1[[#This Row],[Strain name]],"|",Table1[[#This Row],[host_simple]],"|",Table1[[#This Row],[Country]],"|",Table1[[#This Row],[date_text]])</f>
        <v>MT119599|Dam-127|Mn|Guinea|2015-04-19</v>
      </c>
      <c r="C97" s="2" t="s">
        <v>1282</v>
      </c>
      <c r="D97" s="2" t="str">
        <f>IF(ISNUMBER(MATCH(B97,finalSelection!$A$1:$A$497,0)),"yes","no")</f>
        <v>no</v>
      </c>
      <c r="E97" s="2" t="s">
        <v>862</v>
      </c>
      <c r="F97" s="2" t="s">
        <v>300</v>
      </c>
      <c r="H97" s="2" t="s">
        <v>298</v>
      </c>
      <c r="I97" s="2" t="s">
        <v>56</v>
      </c>
      <c r="J97" s="2" t="s">
        <v>37</v>
      </c>
      <c r="K97" s="2" t="s">
        <v>38</v>
      </c>
      <c r="L97" s="2" t="s">
        <v>37</v>
      </c>
      <c r="M97" s="2" t="str">
        <f>VLOOKUP(C97,seqConcatenated!$A$1:$B$124,2, FALSE)</f>
        <v>MT119513 and MT119599 are merged</v>
      </c>
      <c r="N97" s="2" t="str">
        <f>IF(ISNA(Table1[[#This Row],[Column2]]),Table1[[#This Row],[comments2]], IF(O97="NA",M97,_xlfn.CONCAT(O97,"--",M97)))</f>
        <v>MT119513 and MT119599 are merged</v>
      </c>
      <c r="O97" s="2" t="s">
        <v>39</v>
      </c>
      <c r="P97" s="2" t="s">
        <v>40</v>
      </c>
      <c r="Q97" s="2" t="s">
        <v>41</v>
      </c>
      <c r="S97" s="2" t="s">
        <v>42</v>
      </c>
      <c r="T97" s="2" t="s">
        <v>43</v>
      </c>
      <c r="U97" s="2" t="s">
        <v>44</v>
      </c>
      <c r="V97" s="2" t="s">
        <v>45</v>
      </c>
      <c r="W97" s="2">
        <v>735</v>
      </c>
      <c r="X97" s="2" t="s">
        <v>46</v>
      </c>
      <c r="Y97" s="2" t="s">
        <v>47</v>
      </c>
      <c r="AA97" s="2" t="s">
        <v>48</v>
      </c>
      <c r="AB97" s="2">
        <v>1</v>
      </c>
      <c r="AC97" s="2" t="s">
        <v>293</v>
      </c>
      <c r="AD97" s="2" t="s">
        <v>50</v>
      </c>
      <c r="AE97" s="4">
        <v>9.8068329999999992</v>
      </c>
      <c r="AF97" s="4">
        <v>-10.863267</v>
      </c>
      <c r="AG97" s="2" t="s">
        <v>51</v>
      </c>
      <c r="AI97" s="2" t="s">
        <v>52</v>
      </c>
      <c r="AJ97" s="2" t="str">
        <f>IF(Table1[[#This Row],[Host]]="Mastomys natalensis", "Mn", IF(Table1[[#This Row],[Host]]="Homo Sapiens","Human","PROBLEMMEMEMMEMEMEMM"))</f>
        <v>Mn</v>
      </c>
      <c r="AK97" s="2" t="s">
        <v>53</v>
      </c>
      <c r="AL97" s="5">
        <v>42113</v>
      </c>
      <c r="AM97" s="6" t="s">
        <v>1060</v>
      </c>
      <c r="AO97" s="2" t="s">
        <v>301</v>
      </c>
    </row>
    <row r="98" spans="1:41" x14ac:dyDescent="0.3">
      <c r="A98" s="2">
        <v>55</v>
      </c>
      <c r="B98" s="2" t="str">
        <f>_xlfn.CONCAT(Table1[[#This Row],[Acession_no_.1]],"|",Table1[[#This Row],[Strain name]],"|",Table1[[#This Row],[host_simple]],"|",Table1[[#This Row],[Country]],"|",Table1[[#This Row],[date_text]])</f>
        <v>MT119514|Dam-135|Mn|Guinea|2015-11-13</v>
      </c>
      <c r="C98" s="2" t="s">
        <v>1283</v>
      </c>
      <c r="D98" s="2" t="str">
        <f>IF(ISNUMBER(MATCH(B98,finalSelection!$A$1:$A$497,0)),"yes","no")</f>
        <v>no</v>
      </c>
      <c r="E98" s="2" t="s">
        <v>863</v>
      </c>
      <c r="F98" s="2" t="s">
        <v>302</v>
      </c>
      <c r="H98" s="2" t="s">
        <v>303</v>
      </c>
      <c r="I98" s="2" t="s">
        <v>36</v>
      </c>
      <c r="J98" s="2" t="s">
        <v>37</v>
      </c>
      <c r="K98" s="2" t="s">
        <v>38</v>
      </c>
      <c r="L98" s="2" t="s">
        <v>37</v>
      </c>
      <c r="M98" s="2" t="str">
        <f>VLOOKUP(C98,seqConcatenated!$A$1:$B$124,2, FALSE)</f>
        <v>MT119514 and MT119600 are merged</v>
      </c>
      <c r="N98" s="2" t="str">
        <f>IF(ISNA(Table1[[#This Row],[Column2]]),Table1[[#This Row],[comments2]], IF(O98="NA",M98,_xlfn.CONCAT(O98,"--",M98)))</f>
        <v>MT119514 and MT119600 are merged</v>
      </c>
      <c r="O98" s="2" t="s">
        <v>39</v>
      </c>
      <c r="P98" s="2" t="s">
        <v>40</v>
      </c>
      <c r="Q98" s="2" t="s">
        <v>41</v>
      </c>
      <c r="S98" s="2" t="s">
        <v>42</v>
      </c>
      <c r="T98" s="2" t="s">
        <v>43</v>
      </c>
      <c r="U98" s="2" t="s">
        <v>44</v>
      </c>
      <c r="V98" s="2" t="s">
        <v>45</v>
      </c>
      <c r="W98" s="2">
        <v>888</v>
      </c>
      <c r="X98" s="2" t="s">
        <v>46</v>
      </c>
      <c r="Y98" s="2" t="s">
        <v>47</v>
      </c>
      <c r="AA98" s="2" t="s">
        <v>48</v>
      </c>
      <c r="AB98" s="2">
        <v>1</v>
      </c>
      <c r="AC98" s="2" t="s">
        <v>293</v>
      </c>
      <c r="AD98" s="2" t="s">
        <v>50</v>
      </c>
      <c r="AE98" s="4">
        <v>9.8068329999999992</v>
      </c>
      <c r="AF98" s="4">
        <v>-10.863267</v>
      </c>
      <c r="AG98" s="2" t="s">
        <v>51</v>
      </c>
      <c r="AI98" s="2" t="s">
        <v>52</v>
      </c>
      <c r="AJ98" s="2" t="str">
        <f>IF(Table1[[#This Row],[Host]]="Mastomys natalensis", "Mn", IF(Table1[[#This Row],[Host]]="Homo Sapiens","Human","PROBLEMMEMEMMEMEMEMM"))</f>
        <v>Mn</v>
      </c>
      <c r="AK98" s="2" t="s">
        <v>53</v>
      </c>
      <c r="AL98" s="5">
        <v>42321</v>
      </c>
      <c r="AM98" s="6" t="s">
        <v>1061</v>
      </c>
      <c r="AO98" s="2" t="s">
        <v>304</v>
      </c>
    </row>
    <row r="99" spans="1:41" x14ac:dyDescent="0.3">
      <c r="A99" s="2">
        <v>141</v>
      </c>
      <c r="B99" s="2" t="str">
        <f>_xlfn.CONCAT(Table1[[#This Row],[Acession_no_.1]],"|",Table1[[#This Row],[Strain name]],"|",Table1[[#This Row],[host_simple]],"|",Table1[[#This Row],[Country]],"|",Table1[[#This Row],[date_text]])</f>
        <v>MT119600|Dam-135|Mn|Guinea|2015-11-13</v>
      </c>
      <c r="C99" s="2" t="s">
        <v>1283</v>
      </c>
      <c r="D99" s="2" t="str">
        <f>IF(ISNUMBER(MATCH(B99,finalSelection!$A$1:$A$497,0)),"yes","no")</f>
        <v>no</v>
      </c>
      <c r="E99" s="2" t="s">
        <v>864</v>
      </c>
      <c r="F99" s="2" t="s">
        <v>305</v>
      </c>
      <c r="H99" s="2" t="s">
        <v>303</v>
      </c>
      <c r="I99" s="2" t="s">
        <v>56</v>
      </c>
      <c r="J99" s="2" t="s">
        <v>37</v>
      </c>
      <c r="K99" s="2" t="s">
        <v>38</v>
      </c>
      <c r="L99" s="2" t="s">
        <v>37</v>
      </c>
      <c r="M99" s="2" t="str">
        <f>VLOOKUP(C99,seqConcatenated!$A$1:$B$124,2, FALSE)</f>
        <v>MT119514 and MT119600 are merged</v>
      </c>
      <c r="N99" s="2" t="str">
        <f>IF(ISNA(Table1[[#This Row],[Column2]]),Table1[[#This Row],[comments2]], IF(O99="NA",M99,_xlfn.CONCAT(O99,"--",M99)))</f>
        <v>MT119514 and MT119600 are merged</v>
      </c>
      <c r="O99" s="2" t="s">
        <v>39</v>
      </c>
      <c r="P99" s="2" t="s">
        <v>40</v>
      </c>
      <c r="Q99" s="2" t="s">
        <v>41</v>
      </c>
      <c r="S99" s="2" t="s">
        <v>42</v>
      </c>
      <c r="T99" s="2" t="s">
        <v>43</v>
      </c>
      <c r="U99" s="2" t="s">
        <v>44</v>
      </c>
      <c r="V99" s="2" t="s">
        <v>45</v>
      </c>
      <c r="W99" s="2">
        <v>711</v>
      </c>
      <c r="X99" s="2" t="s">
        <v>46</v>
      </c>
      <c r="Y99" s="2" t="s">
        <v>47</v>
      </c>
      <c r="AA99" s="2" t="s">
        <v>48</v>
      </c>
      <c r="AB99" s="2">
        <v>1</v>
      </c>
      <c r="AC99" s="2" t="s">
        <v>293</v>
      </c>
      <c r="AD99" s="2" t="s">
        <v>50</v>
      </c>
      <c r="AE99" s="4">
        <v>9.8068329999999992</v>
      </c>
      <c r="AF99" s="4">
        <v>-10.863267</v>
      </c>
      <c r="AG99" s="2" t="s">
        <v>51</v>
      </c>
      <c r="AI99" s="2" t="s">
        <v>52</v>
      </c>
      <c r="AJ99" s="2" t="str">
        <f>IF(Table1[[#This Row],[Host]]="Mastomys natalensis", "Mn", IF(Table1[[#This Row],[Host]]="Homo Sapiens","Human","PROBLEMMEMEMMEMEMEMM"))</f>
        <v>Mn</v>
      </c>
      <c r="AK99" s="2" t="s">
        <v>53</v>
      </c>
      <c r="AL99" s="5">
        <v>42321</v>
      </c>
      <c r="AM99" s="6" t="s">
        <v>1061</v>
      </c>
      <c r="AO99" s="2" t="s">
        <v>306</v>
      </c>
    </row>
    <row r="100" spans="1:41" x14ac:dyDescent="0.3">
      <c r="A100" s="2">
        <v>56</v>
      </c>
      <c r="B100" s="2" t="str">
        <f>_xlfn.CONCAT(Table1[[#This Row],[Acession_no_.1]],"|",Table1[[#This Row],[Strain name]],"|",Table1[[#This Row],[host_simple]],"|",Table1[[#This Row],[Country]],"|",Table1[[#This Row],[date_text]])</f>
        <v>MT119515|Dam-151|Mn|Guinea|2015-11-15</v>
      </c>
      <c r="C100" s="2" t="s">
        <v>1284</v>
      </c>
      <c r="D100" s="2" t="str">
        <f>IF(ISNUMBER(MATCH(B100,finalSelection!$A$1:$A$497,0)),"yes","no")</f>
        <v>no</v>
      </c>
      <c r="E100" s="2" t="s">
        <v>865</v>
      </c>
      <c r="F100" s="2" t="s">
        <v>307</v>
      </c>
      <c r="H100" s="2" t="s">
        <v>308</v>
      </c>
      <c r="I100" s="2" t="s">
        <v>36</v>
      </c>
      <c r="J100" s="2" t="s">
        <v>37</v>
      </c>
      <c r="K100" s="2" t="s">
        <v>38</v>
      </c>
      <c r="L100" s="2" t="s">
        <v>37</v>
      </c>
      <c r="M100" s="2" t="str">
        <f>VLOOKUP(C100,seqConcatenated!$A$1:$B$124,2, FALSE)</f>
        <v>MT119515 and MT119601 are merged</v>
      </c>
      <c r="N100" s="2" t="str">
        <f>IF(ISNA(Table1[[#This Row],[Column2]]),Table1[[#This Row],[comments2]], IF(O100="NA",M100,_xlfn.CONCAT(O100,"--",M100)))</f>
        <v>MT119515 and MT119601 are merged</v>
      </c>
      <c r="O100" s="2" t="s">
        <v>39</v>
      </c>
      <c r="P100" s="2" t="s">
        <v>40</v>
      </c>
      <c r="Q100" s="2" t="s">
        <v>41</v>
      </c>
      <c r="S100" s="2" t="s">
        <v>42</v>
      </c>
      <c r="T100" s="2" t="s">
        <v>43</v>
      </c>
      <c r="U100" s="2" t="s">
        <v>44</v>
      </c>
      <c r="V100" s="2" t="s">
        <v>45</v>
      </c>
      <c r="W100" s="2">
        <v>888</v>
      </c>
      <c r="X100" s="2" t="s">
        <v>46</v>
      </c>
      <c r="Y100" s="2" t="s">
        <v>47</v>
      </c>
      <c r="AA100" s="2" t="s">
        <v>48</v>
      </c>
      <c r="AB100" s="2">
        <v>1</v>
      </c>
      <c r="AC100" s="2" t="s">
        <v>293</v>
      </c>
      <c r="AD100" s="2" t="s">
        <v>50</v>
      </c>
      <c r="AE100" s="4">
        <v>9.8068329999999992</v>
      </c>
      <c r="AF100" s="4">
        <v>-10.863267</v>
      </c>
      <c r="AG100" s="2" t="s">
        <v>51</v>
      </c>
      <c r="AI100" s="2" t="s">
        <v>52</v>
      </c>
      <c r="AJ100" s="2" t="str">
        <f>IF(Table1[[#This Row],[Host]]="Mastomys natalensis", "Mn", IF(Table1[[#This Row],[Host]]="Homo Sapiens","Human","PROBLEMMEMEMMEMEMEMM"))</f>
        <v>Mn</v>
      </c>
      <c r="AK100" s="2" t="s">
        <v>53</v>
      </c>
      <c r="AL100" s="5">
        <v>42323</v>
      </c>
      <c r="AM100" s="6" t="s">
        <v>1062</v>
      </c>
      <c r="AO100" s="2" t="s">
        <v>309</v>
      </c>
    </row>
    <row r="101" spans="1:41" x14ac:dyDescent="0.3">
      <c r="A101" s="2">
        <v>142</v>
      </c>
      <c r="B101" s="2" t="str">
        <f>_xlfn.CONCAT(Table1[[#This Row],[Acession_no_.1]],"|",Table1[[#This Row],[Strain name]],"|",Table1[[#This Row],[host_simple]],"|",Table1[[#This Row],[Country]],"|",Table1[[#This Row],[date_text]])</f>
        <v>MT119601|Dam-151|Mn|Guinea|2015-11-15</v>
      </c>
      <c r="C101" s="2" t="s">
        <v>1284</v>
      </c>
      <c r="D101" s="2" t="str">
        <f>IF(ISNUMBER(MATCH(B101,finalSelection!$A$1:$A$497,0)),"yes","no")</f>
        <v>no</v>
      </c>
      <c r="E101" s="2" t="s">
        <v>866</v>
      </c>
      <c r="F101" s="2" t="s">
        <v>310</v>
      </c>
      <c r="H101" s="2" t="s">
        <v>308</v>
      </c>
      <c r="I101" s="2" t="s">
        <v>56</v>
      </c>
      <c r="J101" s="2" t="s">
        <v>37</v>
      </c>
      <c r="K101" s="2" t="s">
        <v>38</v>
      </c>
      <c r="L101" s="2" t="s">
        <v>37</v>
      </c>
      <c r="M101" s="2" t="str">
        <f>VLOOKUP(C101,seqConcatenated!$A$1:$B$124,2, FALSE)</f>
        <v>MT119515 and MT119601 are merged</v>
      </c>
      <c r="N101" s="2" t="str">
        <f>IF(ISNA(Table1[[#This Row],[Column2]]),Table1[[#This Row],[comments2]], IF(O101="NA",M101,_xlfn.CONCAT(O101,"--",M101)))</f>
        <v>MT119515 and MT119601 are merged</v>
      </c>
      <c r="O101" s="2" t="s">
        <v>39</v>
      </c>
      <c r="P101" s="2" t="s">
        <v>40</v>
      </c>
      <c r="Q101" s="2" t="s">
        <v>41</v>
      </c>
      <c r="S101" s="2" t="s">
        <v>42</v>
      </c>
      <c r="T101" s="2" t="s">
        <v>43</v>
      </c>
      <c r="U101" s="2" t="s">
        <v>44</v>
      </c>
      <c r="V101" s="2" t="s">
        <v>45</v>
      </c>
      <c r="W101" s="2">
        <v>711</v>
      </c>
      <c r="X101" s="2" t="s">
        <v>46</v>
      </c>
      <c r="Y101" s="2" t="s">
        <v>47</v>
      </c>
      <c r="AA101" s="2" t="s">
        <v>48</v>
      </c>
      <c r="AB101" s="2">
        <v>1</v>
      </c>
      <c r="AC101" s="2" t="s">
        <v>293</v>
      </c>
      <c r="AD101" s="2" t="s">
        <v>50</v>
      </c>
      <c r="AE101" s="4">
        <v>9.8068329999999992</v>
      </c>
      <c r="AF101" s="4">
        <v>-10.863267</v>
      </c>
      <c r="AG101" s="2" t="s">
        <v>51</v>
      </c>
      <c r="AI101" s="2" t="s">
        <v>52</v>
      </c>
      <c r="AJ101" s="2" t="str">
        <f>IF(Table1[[#This Row],[Host]]="Mastomys natalensis", "Mn", IF(Table1[[#This Row],[Host]]="Homo Sapiens","Human","PROBLEMMEMEMMEMEMEMM"))</f>
        <v>Mn</v>
      </c>
      <c r="AK101" s="2" t="s">
        <v>53</v>
      </c>
      <c r="AL101" s="5">
        <v>42323</v>
      </c>
      <c r="AM101" s="6" t="s">
        <v>1062</v>
      </c>
      <c r="AO101" s="2" t="s">
        <v>311</v>
      </c>
    </row>
    <row r="102" spans="1:41" x14ac:dyDescent="0.3">
      <c r="A102" s="2">
        <v>57</v>
      </c>
      <c r="B102" s="2" t="str">
        <f>_xlfn.CONCAT(Table1[[#This Row],[Acession_no_.1]],"|",Table1[[#This Row],[Strain name]],"|",Table1[[#This Row],[host_simple]],"|",Table1[[#This Row],[Country]],"|",Table1[[#This Row],[date_text]])</f>
        <v>MT119516|Dam-152|Mn|Guinea|2015-11-15</v>
      </c>
      <c r="C102" s="2" t="s">
        <v>1285</v>
      </c>
      <c r="D102" s="2" t="str">
        <f>IF(ISNUMBER(MATCH(B102,finalSelection!$A$1:$A$497,0)),"yes","no")</f>
        <v>no</v>
      </c>
      <c r="E102" s="2" t="s">
        <v>867</v>
      </c>
      <c r="F102" s="2" t="s">
        <v>312</v>
      </c>
      <c r="H102" s="2" t="s">
        <v>313</v>
      </c>
      <c r="I102" s="2" t="s">
        <v>36</v>
      </c>
      <c r="J102" s="2" t="s">
        <v>37</v>
      </c>
      <c r="K102" s="2" t="s">
        <v>38</v>
      </c>
      <c r="L102" s="2" t="s">
        <v>37</v>
      </c>
      <c r="M102" s="2" t="e">
        <f>VLOOKUP(C102,seqConcatenated!$A$1:$B$124,2, FALSE)</f>
        <v>#N/A</v>
      </c>
      <c r="N102" s="2" t="str">
        <f>IF(ISNA(Table1[[#This Row],[Column2]]),Table1[[#This Row],[comments2]], IF(O102="NA",M102,_xlfn.CONCAT(O102,"--",M102)))</f>
        <v>NA</v>
      </c>
      <c r="O102" s="2" t="s">
        <v>39</v>
      </c>
      <c r="P102" s="2" t="s">
        <v>40</v>
      </c>
      <c r="Q102" s="2" t="s">
        <v>41</v>
      </c>
      <c r="S102" s="2" t="s">
        <v>42</v>
      </c>
      <c r="T102" s="2" t="s">
        <v>43</v>
      </c>
      <c r="U102" s="2" t="s">
        <v>44</v>
      </c>
      <c r="V102" s="2" t="s">
        <v>45</v>
      </c>
      <c r="W102" s="2">
        <v>888</v>
      </c>
      <c r="X102" s="2" t="s">
        <v>46</v>
      </c>
      <c r="Y102" s="2" t="s">
        <v>47</v>
      </c>
      <c r="AA102" s="2" t="s">
        <v>48</v>
      </c>
      <c r="AB102" s="2">
        <v>1</v>
      </c>
      <c r="AC102" s="2" t="s">
        <v>293</v>
      </c>
      <c r="AD102" s="2" t="s">
        <v>50</v>
      </c>
      <c r="AE102" s="4">
        <v>9.8068329999999992</v>
      </c>
      <c r="AF102" s="4">
        <v>-10.863267</v>
      </c>
      <c r="AG102" s="2" t="s">
        <v>51</v>
      </c>
      <c r="AI102" s="2" t="s">
        <v>52</v>
      </c>
      <c r="AJ102" s="2" t="str">
        <f>IF(Table1[[#This Row],[Host]]="Mastomys natalensis", "Mn", IF(Table1[[#This Row],[Host]]="Homo Sapiens","Human","PROBLEMMEMEMMEMEMEMM"))</f>
        <v>Mn</v>
      </c>
      <c r="AK102" s="2" t="s">
        <v>53</v>
      </c>
      <c r="AL102" s="5">
        <v>42323</v>
      </c>
      <c r="AM102" s="6" t="s">
        <v>1062</v>
      </c>
      <c r="AO102" s="2" t="s">
        <v>314</v>
      </c>
    </row>
    <row r="103" spans="1:41" x14ac:dyDescent="0.3">
      <c r="A103" s="2">
        <v>58</v>
      </c>
      <c r="B103" s="2" t="str">
        <f>_xlfn.CONCAT(Table1[[#This Row],[Acession_no_.1]],"|",Table1[[#This Row],[Strain name]],"|",Table1[[#This Row],[host_simple]],"|",Table1[[#This Row],[Country]],"|",Table1[[#This Row],[date_text]])</f>
        <v>MT119517|Dam-162|Mn|Guinea|2016-11-16</v>
      </c>
      <c r="C103" s="2" t="s">
        <v>1286</v>
      </c>
      <c r="D103" s="2" t="str">
        <f>IF(ISNUMBER(MATCH(B103,finalSelection!$A$1:$A$497,0)),"yes","no")</f>
        <v>yes</v>
      </c>
      <c r="E103" s="2" t="s">
        <v>868</v>
      </c>
      <c r="F103" s="2" t="s">
        <v>315</v>
      </c>
      <c r="H103" s="2" t="s">
        <v>316</v>
      </c>
      <c r="I103" s="2" t="s">
        <v>36</v>
      </c>
      <c r="J103" s="2" t="s">
        <v>37</v>
      </c>
      <c r="K103" s="2" t="s">
        <v>38</v>
      </c>
      <c r="L103" s="2" t="s">
        <v>37</v>
      </c>
      <c r="M103" s="2" t="str">
        <f>VLOOKUP(C103,seqConcatenated!$A$1:$B$124,2, FALSE)</f>
        <v>MT119517 and MT119602 are merged</v>
      </c>
      <c r="N103" s="2" t="str">
        <f>IF(ISNA(Table1[[#This Row],[Column2]]),Table1[[#This Row],[comments2]], IF(O103="NA",M103,_xlfn.CONCAT(O103,"--",M103)))</f>
        <v>MT119517 and MT119602 are merged</v>
      </c>
      <c r="O103" s="2" t="s">
        <v>39</v>
      </c>
      <c r="P103" s="2" t="s">
        <v>40</v>
      </c>
      <c r="Q103" s="2" t="s">
        <v>41</v>
      </c>
      <c r="S103" s="2" t="s">
        <v>42</v>
      </c>
      <c r="T103" s="2" t="s">
        <v>43</v>
      </c>
      <c r="U103" s="2" t="s">
        <v>44</v>
      </c>
      <c r="V103" s="2" t="s">
        <v>45</v>
      </c>
      <c r="W103" s="2">
        <v>888</v>
      </c>
      <c r="X103" s="2" t="s">
        <v>46</v>
      </c>
      <c r="Y103" s="2" t="s">
        <v>47</v>
      </c>
      <c r="AA103" s="2" t="s">
        <v>48</v>
      </c>
      <c r="AB103" s="2">
        <v>1</v>
      </c>
      <c r="AC103" s="2" t="s">
        <v>293</v>
      </c>
      <c r="AD103" s="2" t="s">
        <v>50</v>
      </c>
      <c r="AE103" s="4">
        <v>9.8068329999999992</v>
      </c>
      <c r="AF103" s="4">
        <v>-10.863267</v>
      </c>
      <c r="AG103" s="2" t="s">
        <v>51</v>
      </c>
      <c r="AI103" s="2" t="s">
        <v>52</v>
      </c>
      <c r="AJ103" s="2" t="str">
        <f>IF(Table1[[#This Row],[Host]]="Mastomys natalensis", "Mn", IF(Table1[[#This Row],[Host]]="Homo Sapiens","Human","PROBLEMMEMEMMEMEMEMM"))</f>
        <v>Mn</v>
      </c>
      <c r="AK103" s="2" t="s">
        <v>53</v>
      </c>
      <c r="AL103" s="5">
        <v>42690</v>
      </c>
      <c r="AM103" s="6" t="s">
        <v>1063</v>
      </c>
      <c r="AO103" s="2" t="s">
        <v>317</v>
      </c>
    </row>
    <row r="104" spans="1:41" x14ac:dyDescent="0.3">
      <c r="A104" s="2">
        <v>143</v>
      </c>
      <c r="B104" s="2" t="str">
        <f>_xlfn.CONCAT(Table1[[#This Row],[Acession_no_.1]],"|",Table1[[#This Row],[Strain name]],"|",Table1[[#This Row],[host_simple]],"|",Table1[[#This Row],[Country]],"|",Table1[[#This Row],[date_text]])</f>
        <v>MT119602|Dam-162|Mn|Guinea|2016-11-16</v>
      </c>
      <c r="C104" s="2" t="s">
        <v>1286</v>
      </c>
      <c r="D104" s="2" t="str">
        <f>IF(ISNUMBER(MATCH(B104,finalSelection!$A$1:$A$497,0)),"yes","no")</f>
        <v>no</v>
      </c>
      <c r="E104" s="2" t="s">
        <v>869</v>
      </c>
      <c r="F104" s="2" t="s">
        <v>318</v>
      </c>
      <c r="H104" s="2" t="s">
        <v>316</v>
      </c>
      <c r="I104" s="2" t="s">
        <v>56</v>
      </c>
      <c r="J104" s="2" t="s">
        <v>37</v>
      </c>
      <c r="K104" s="2" t="s">
        <v>38</v>
      </c>
      <c r="L104" s="2" t="s">
        <v>37</v>
      </c>
      <c r="M104" s="2" t="str">
        <f>VLOOKUP(C104,seqConcatenated!$A$1:$B$124,2, FALSE)</f>
        <v>MT119517 and MT119602 are merged</v>
      </c>
      <c r="N104" s="2" t="str">
        <f>IF(ISNA(Table1[[#This Row],[Column2]]),Table1[[#This Row],[comments2]], IF(O104="NA",M104,_xlfn.CONCAT(O104,"--",M104)))</f>
        <v>MT119517 and MT119602 are merged</v>
      </c>
      <c r="O104" s="2" t="s">
        <v>39</v>
      </c>
      <c r="P104" s="2" t="s">
        <v>40</v>
      </c>
      <c r="Q104" s="2" t="s">
        <v>41</v>
      </c>
      <c r="S104" s="2" t="s">
        <v>42</v>
      </c>
      <c r="T104" s="2" t="s">
        <v>43</v>
      </c>
      <c r="U104" s="2" t="s">
        <v>44</v>
      </c>
      <c r="V104" s="2" t="s">
        <v>45</v>
      </c>
      <c r="W104" s="2">
        <v>735</v>
      </c>
      <c r="X104" s="2" t="s">
        <v>46</v>
      </c>
      <c r="Y104" s="2" t="s">
        <v>47</v>
      </c>
      <c r="AA104" s="2" t="s">
        <v>48</v>
      </c>
      <c r="AB104" s="2">
        <v>1</v>
      </c>
      <c r="AC104" s="2" t="s">
        <v>293</v>
      </c>
      <c r="AD104" s="2" t="s">
        <v>50</v>
      </c>
      <c r="AE104" s="4">
        <v>9.8068329999999992</v>
      </c>
      <c r="AF104" s="4">
        <v>-10.863267</v>
      </c>
      <c r="AG104" s="2" t="s">
        <v>51</v>
      </c>
      <c r="AI104" s="2" t="s">
        <v>52</v>
      </c>
      <c r="AJ104" s="2" t="str">
        <f>IF(Table1[[#This Row],[Host]]="Mastomys natalensis", "Mn", IF(Table1[[#This Row],[Host]]="Homo Sapiens","Human","PROBLEMMEMEMMEMEMEMM"))</f>
        <v>Mn</v>
      </c>
      <c r="AK104" s="2" t="s">
        <v>53</v>
      </c>
      <c r="AL104" s="5">
        <v>42690</v>
      </c>
      <c r="AM104" s="6" t="s">
        <v>1063</v>
      </c>
      <c r="AO104" s="2" t="s">
        <v>319</v>
      </c>
    </row>
    <row r="105" spans="1:41" x14ac:dyDescent="0.3">
      <c r="A105" s="2">
        <v>59</v>
      </c>
      <c r="B105" s="2" t="str">
        <f>_xlfn.CONCAT(Table1[[#This Row],[Acession_no_.1]],"|",Table1[[#This Row],[Strain name]],"|",Table1[[#This Row],[host_simple]],"|",Table1[[#This Row],[Country]],"|",Table1[[#This Row],[date_text]])</f>
        <v>MT119518|Dam-163|Mn|Guinea|2016-11-16</v>
      </c>
      <c r="C105" s="2" t="s">
        <v>1287</v>
      </c>
      <c r="D105" s="2" t="str">
        <f>IF(ISNUMBER(MATCH(B105,finalSelection!$A$1:$A$497,0)),"yes","no")</f>
        <v>yes</v>
      </c>
      <c r="E105" s="2" t="s">
        <v>870</v>
      </c>
      <c r="F105" s="2" t="s">
        <v>320</v>
      </c>
      <c r="H105" s="2" t="s">
        <v>321</v>
      </c>
      <c r="I105" s="2" t="s">
        <v>36</v>
      </c>
      <c r="J105" s="2" t="s">
        <v>37</v>
      </c>
      <c r="K105" s="2" t="s">
        <v>38</v>
      </c>
      <c r="L105" s="2" t="s">
        <v>37</v>
      </c>
      <c r="M105" s="2" t="str">
        <f>VLOOKUP(C105,seqConcatenated!$A$1:$B$124,2, FALSE)</f>
        <v>MT119518 and MT119603 are merged</v>
      </c>
      <c r="N105" s="2" t="str">
        <f>IF(ISNA(Table1[[#This Row],[Column2]]),Table1[[#This Row],[comments2]], IF(O105="NA",M105,_xlfn.CONCAT(O105,"--",M105)))</f>
        <v>MT119518 and MT119603 are merged</v>
      </c>
      <c r="O105" s="2" t="s">
        <v>39</v>
      </c>
      <c r="P105" s="2" t="s">
        <v>40</v>
      </c>
      <c r="Q105" s="2" t="s">
        <v>41</v>
      </c>
      <c r="S105" s="2" t="s">
        <v>42</v>
      </c>
      <c r="T105" s="2" t="s">
        <v>43</v>
      </c>
      <c r="U105" s="2" t="s">
        <v>44</v>
      </c>
      <c r="V105" s="2" t="s">
        <v>45</v>
      </c>
      <c r="W105" s="2">
        <v>888</v>
      </c>
      <c r="X105" s="2" t="s">
        <v>46</v>
      </c>
      <c r="Y105" s="2" t="s">
        <v>47</v>
      </c>
      <c r="AA105" s="2" t="s">
        <v>48</v>
      </c>
      <c r="AB105" s="2">
        <v>1</v>
      </c>
      <c r="AC105" s="2" t="s">
        <v>293</v>
      </c>
      <c r="AD105" s="2" t="s">
        <v>50</v>
      </c>
      <c r="AE105" s="4">
        <v>9.8068329999999992</v>
      </c>
      <c r="AF105" s="4">
        <v>-10.863267</v>
      </c>
      <c r="AG105" s="2" t="s">
        <v>51</v>
      </c>
      <c r="AI105" s="2" t="s">
        <v>52</v>
      </c>
      <c r="AJ105" s="2" t="str">
        <f>IF(Table1[[#This Row],[Host]]="Mastomys natalensis", "Mn", IF(Table1[[#This Row],[Host]]="Homo Sapiens","Human","PROBLEMMEMEMMEMEMEMM"))</f>
        <v>Mn</v>
      </c>
      <c r="AK105" s="2" t="s">
        <v>53</v>
      </c>
      <c r="AL105" s="5">
        <v>42690</v>
      </c>
      <c r="AM105" s="6" t="s">
        <v>1063</v>
      </c>
      <c r="AO105" s="2" t="s">
        <v>322</v>
      </c>
    </row>
    <row r="106" spans="1:41" x14ac:dyDescent="0.3">
      <c r="A106" s="2">
        <v>144</v>
      </c>
      <c r="B106" s="2" t="str">
        <f>_xlfn.CONCAT(Table1[[#This Row],[Acession_no_.1]],"|",Table1[[#This Row],[Strain name]],"|",Table1[[#This Row],[host_simple]],"|",Table1[[#This Row],[Country]],"|",Table1[[#This Row],[date_text]])</f>
        <v>MT119603|Dam-163|Mn|Guinea|2016-11-16</v>
      </c>
      <c r="C106" s="2" t="s">
        <v>1287</v>
      </c>
      <c r="D106" s="2" t="str">
        <f>IF(ISNUMBER(MATCH(B106,finalSelection!$A$1:$A$497,0)),"yes","no")</f>
        <v>no</v>
      </c>
      <c r="E106" s="2" t="s">
        <v>871</v>
      </c>
      <c r="F106" s="2" t="s">
        <v>323</v>
      </c>
      <c r="H106" s="2" t="s">
        <v>321</v>
      </c>
      <c r="I106" s="2" t="s">
        <v>56</v>
      </c>
      <c r="J106" s="2" t="s">
        <v>37</v>
      </c>
      <c r="K106" s="2" t="s">
        <v>38</v>
      </c>
      <c r="L106" s="2" t="s">
        <v>37</v>
      </c>
      <c r="M106" s="2" t="str">
        <f>VLOOKUP(C106,seqConcatenated!$A$1:$B$124,2, FALSE)</f>
        <v>MT119518 and MT119603 are merged</v>
      </c>
      <c r="N106" s="2" t="str">
        <f>IF(ISNA(Table1[[#This Row],[Column2]]),Table1[[#This Row],[comments2]], IF(O106="NA",M106,_xlfn.CONCAT(O106,"--",M106)))</f>
        <v>MT119518 and MT119603 are merged</v>
      </c>
      <c r="O106" s="2" t="s">
        <v>39</v>
      </c>
      <c r="P106" s="2" t="s">
        <v>40</v>
      </c>
      <c r="Q106" s="2" t="s">
        <v>41</v>
      </c>
      <c r="S106" s="2" t="s">
        <v>42</v>
      </c>
      <c r="T106" s="2" t="s">
        <v>43</v>
      </c>
      <c r="U106" s="2" t="s">
        <v>44</v>
      </c>
      <c r="V106" s="2" t="s">
        <v>45</v>
      </c>
      <c r="W106" s="2">
        <v>735</v>
      </c>
      <c r="X106" s="2" t="s">
        <v>46</v>
      </c>
      <c r="Y106" s="2" t="s">
        <v>47</v>
      </c>
      <c r="AA106" s="2" t="s">
        <v>48</v>
      </c>
      <c r="AB106" s="2">
        <v>1</v>
      </c>
      <c r="AC106" s="2" t="s">
        <v>293</v>
      </c>
      <c r="AD106" s="2" t="s">
        <v>50</v>
      </c>
      <c r="AE106" s="4">
        <v>9.8068329999999992</v>
      </c>
      <c r="AF106" s="4">
        <v>-10.863267</v>
      </c>
      <c r="AG106" s="2" t="s">
        <v>51</v>
      </c>
      <c r="AI106" s="2" t="s">
        <v>52</v>
      </c>
      <c r="AJ106" s="2" t="str">
        <f>IF(Table1[[#This Row],[Host]]="Mastomys natalensis", "Mn", IF(Table1[[#This Row],[Host]]="Homo Sapiens","Human","PROBLEMMEMEMMEMEMEMM"))</f>
        <v>Mn</v>
      </c>
      <c r="AK106" s="2" t="s">
        <v>53</v>
      </c>
      <c r="AL106" s="5">
        <v>42690</v>
      </c>
      <c r="AM106" s="6" t="s">
        <v>1063</v>
      </c>
      <c r="AO106" s="2" t="s">
        <v>324</v>
      </c>
    </row>
    <row r="107" spans="1:41" x14ac:dyDescent="0.3">
      <c r="A107" s="2">
        <v>60</v>
      </c>
      <c r="B107" s="2" t="str">
        <f>_xlfn.CONCAT(Table1[[#This Row],[Acession_no_.1]],"|",Table1[[#This Row],[Strain name]],"|",Table1[[#This Row],[host_simple]],"|",Table1[[#This Row],[Country]],"|",Table1[[#This Row],[date_text]])</f>
        <v>MT119519|Dam-183|Mn|Guinea|2016-11-16</v>
      </c>
      <c r="C107" s="2" t="s">
        <v>1288</v>
      </c>
      <c r="D107" s="2" t="str">
        <f>IF(ISNUMBER(MATCH(B107,finalSelection!$A$1:$A$497,0)),"yes","no")</f>
        <v>yes</v>
      </c>
      <c r="E107" s="2" t="s">
        <v>872</v>
      </c>
      <c r="F107" s="2" t="s">
        <v>325</v>
      </c>
      <c r="H107" s="2" t="s">
        <v>326</v>
      </c>
      <c r="I107" s="2" t="s">
        <v>36</v>
      </c>
      <c r="J107" s="2" t="s">
        <v>37</v>
      </c>
      <c r="K107" s="2" t="s">
        <v>38</v>
      </c>
      <c r="L107" s="2" t="s">
        <v>37</v>
      </c>
      <c r="M107" s="2" t="str">
        <f>VLOOKUP(C107,seqConcatenated!$A$1:$B$124,2, FALSE)</f>
        <v>MT119519 and MT119604 are merged</v>
      </c>
      <c r="N107" s="2" t="str">
        <f>IF(ISNA(Table1[[#This Row],[Column2]]),Table1[[#This Row],[comments2]], IF(O107="NA",M107,_xlfn.CONCAT(O107,"--",M107)))</f>
        <v>MT119519 and MT119604 are merged</v>
      </c>
      <c r="O107" s="2" t="s">
        <v>39</v>
      </c>
      <c r="P107" s="2" t="s">
        <v>40</v>
      </c>
      <c r="Q107" s="2" t="s">
        <v>41</v>
      </c>
      <c r="S107" s="2" t="s">
        <v>42</v>
      </c>
      <c r="T107" s="2" t="s">
        <v>43</v>
      </c>
      <c r="U107" s="2" t="s">
        <v>44</v>
      </c>
      <c r="V107" s="2" t="s">
        <v>45</v>
      </c>
      <c r="W107" s="2">
        <v>888</v>
      </c>
      <c r="X107" s="2" t="s">
        <v>46</v>
      </c>
      <c r="Y107" s="2" t="s">
        <v>47</v>
      </c>
      <c r="AA107" s="2" t="s">
        <v>48</v>
      </c>
      <c r="AB107" s="2">
        <v>1</v>
      </c>
      <c r="AC107" s="2" t="s">
        <v>293</v>
      </c>
      <c r="AD107" s="2" t="s">
        <v>50</v>
      </c>
      <c r="AE107" s="4">
        <v>9.8068329999999992</v>
      </c>
      <c r="AF107" s="4">
        <v>-10.863267</v>
      </c>
      <c r="AG107" s="2" t="s">
        <v>51</v>
      </c>
      <c r="AI107" s="2" t="s">
        <v>52</v>
      </c>
      <c r="AJ107" s="2" t="str">
        <f>IF(Table1[[#This Row],[Host]]="Mastomys natalensis", "Mn", IF(Table1[[#This Row],[Host]]="Homo Sapiens","Human","PROBLEMMEMEMMEMEMEMM"))</f>
        <v>Mn</v>
      </c>
      <c r="AK107" s="2" t="s">
        <v>53</v>
      </c>
      <c r="AL107" s="5">
        <v>42690</v>
      </c>
      <c r="AM107" s="6" t="s">
        <v>1063</v>
      </c>
      <c r="AO107" s="2" t="s">
        <v>327</v>
      </c>
    </row>
    <row r="108" spans="1:41" x14ac:dyDescent="0.3">
      <c r="A108" s="2">
        <v>145</v>
      </c>
      <c r="B108" s="2" t="str">
        <f>_xlfn.CONCAT(Table1[[#This Row],[Acession_no_.1]],"|",Table1[[#This Row],[Strain name]],"|",Table1[[#This Row],[host_simple]],"|",Table1[[#This Row],[Country]],"|",Table1[[#This Row],[date_text]])</f>
        <v>MT119604|Dam-183|Mn|Guinea|2016-11-16</v>
      </c>
      <c r="C108" s="2" t="s">
        <v>1288</v>
      </c>
      <c r="D108" s="2" t="str">
        <f>IF(ISNUMBER(MATCH(B108,finalSelection!$A$1:$A$497,0)),"yes","no")</f>
        <v>no</v>
      </c>
      <c r="E108" s="2" t="s">
        <v>873</v>
      </c>
      <c r="F108" s="2" t="s">
        <v>328</v>
      </c>
      <c r="H108" s="2" t="s">
        <v>326</v>
      </c>
      <c r="I108" s="2" t="s">
        <v>56</v>
      </c>
      <c r="J108" s="2" t="s">
        <v>37</v>
      </c>
      <c r="K108" s="2" t="s">
        <v>38</v>
      </c>
      <c r="L108" s="2" t="s">
        <v>37</v>
      </c>
      <c r="M108" s="2" t="str">
        <f>VLOOKUP(C108,seqConcatenated!$A$1:$B$124,2, FALSE)</f>
        <v>MT119519 and MT119604 are merged</v>
      </c>
      <c r="N108" s="2" t="str">
        <f>IF(ISNA(Table1[[#This Row],[Column2]]),Table1[[#This Row],[comments2]], IF(O108="NA",M108,_xlfn.CONCAT(O108,"--",M108)))</f>
        <v>MT119519 and MT119604 are merged</v>
      </c>
      <c r="O108" s="2" t="s">
        <v>39</v>
      </c>
      <c r="P108" s="2" t="s">
        <v>40</v>
      </c>
      <c r="Q108" s="2" t="s">
        <v>41</v>
      </c>
      <c r="S108" s="2" t="s">
        <v>42</v>
      </c>
      <c r="T108" s="2" t="s">
        <v>43</v>
      </c>
      <c r="U108" s="2" t="s">
        <v>44</v>
      </c>
      <c r="V108" s="2" t="s">
        <v>45</v>
      </c>
      <c r="W108" s="2">
        <v>735</v>
      </c>
      <c r="X108" s="2" t="s">
        <v>46</v>
      </c>
      <c r="Y108" s="2" t="s">
        <v>47</v>
      </c>
      <c r="AA108" s="2" t="s">
        <v>48</v>
      </c>
      <c r="AB108" s="2">
        <v>1</v>
      </c>
      <c r="AC108" s="2" t="s">
        <v>293</v>
      </c>
      <c r="AD108" s="2" t="s">
        <v>50</v>
      </c>
      <c r="AE108" s="4">
        <v>9.8068329999999992</v>
      </c>
      <c r="AF108" s="4">
        <v>-10.863267</v>
      </c>
      <c r="AG108" s="2" t="s">
        <v>51</v>
      </c>
      <c r="AI108" s="2" t="s">
        <v>52</v>
      </c>
      <c r="AJ108" s="2" t="str">
        <f>IF(Table1[[#This Row],[Host]]="Mastomys natalensis", "Mn", IF(Table1[[#This Row],[Host]]="Homo Sapiens","Human","PROBLEMMEMEMMEMEMEMM"))</f>
        <v>Mn</v>
      </c>
      <c r="AK108" s="2" t="s">
        <v>53</v>
      </c>
      <c r="AL108" s="5">
        <v>42690</v>
      </c>
      <c r="AM108" s="6" t="s">
        <v>1063</v>
      </c>
      <c r="AO108" s="2" t="s">
        <v>329</v>
      </c>
    </row>
    <row r="109" spans="1:41" x14ac:dyDescent="0.3">
      <c r="A109" s="2">
        <v>61</v>
      </c>
      <c r="B109" s="2" t="str">
        <f>_xlfn.CONCAT(Table1[[#This Row],[Acession_no_.1]],"|",Table1[[#This Row],[Strain name]],"|",Table1[[#This Row],[host_simple]],"|",Table1[[#This Row],[Country]],"|",Table1[[#This Row],[date_text]])</f>
        <v>MT119520|Dam-192|Mn|Guinea|2016-11-17</v>
      </c>
      <c r="C109" s="2" t="s">
        <v>1289</v>
      </c>
      <c r="D109" s="2" t="str">
        <f>IF(ISNUMBER(MATCH(B109,finalSelection!$A$1:$A$497,0)),"yes","no")</f>
        <v>no</v>
      </c>
      <c r="E109" s="2" t="s">
        <v>874</v>
      </c>
      <c r="F109" s="2" t="s">
        <v>330</v>
      </c>
      <c r="H109" s="2" t="s">
        <v>331</v>
      </c>
      <c r="I109" s="2" t="s">
        <v>36</v>
      </c>
      <c r="J109" s="2" t="s">
        <v>37</v>
      </c>
      <c r="K109" s="2" t="s">
        <v>38</v>
      </c>
      <c r="L109" s="2" t="s">
        <v>37</v>
      </c>
      <c r="M109" s="2" t="str">
        <f>VLOOKUP(C109,seqConcatenated!$A$1:$B$124,2, FALSE)</f>
        <v>MT119520 and MT119605 are merged</v>
      </c>
      <c r="N109" s="2" t="str">
        <f>IF(ISNA(Table1[[#This Row],[Column2]]),Table1[[#This Row],[comments2]], IF(O109="NA",M109,_xlfn.CONCAT(O109,"--",M109)))</f>
        <v>MT119520 and MT119605 are merged</v>
      </c>
      <c r="O109" s="2" t="s">
        <v>39</v>
      </c>
      <c r="P109" s="2" t="s">
        <v>40</v>
      </c>
      <c r="Q109" s="2" t="s">
        <v>41</v>
      </c>
      <c r="S109" s="2" t="s">
        <v>42</v>
      </c>
      <c r="T109" s="2" t="s">
        <v>43</v>
      </c>
      <c r="U109" s="2" t="s">
        <v>44</v>
      </c>
      <c r="V109" s="2" t="s">
        <v>45</v>
      </c>
      <c r="W109" s="2">
        <v>888</v>
      </c>
      <c r="X109" s="2" t="s">
        <v>46</v>
      </c>
      <c r="Y109" s="2" t="s">
        <v>47</v>
      </c>
      <c r="AA109" s="2" t="s">
        <v>48</v>
      </c>
      <c r="AB109" s="2">
        <v>1</v>
      </c>
      <c r="AC109" s="2" t="s">
        <v>293</v>
      </c>
      <c r="AD109" s="2" t="s">
        <v>50</v>
      </c>
      <c r="AE109" s="4">
        <v>9.8068329999999992</v>
      </c>
      <c r="AF109" s="4">
        <v>-10.863267</v>
      </c>
      <c r="AG109" s="2" t="s">
        <v>51</v>
      </c>
      <c r="AI109" s="2" t="s">
        <v>52</v>
      </c>
      <c r="AJ109" s="2" t="str">
        <f>IF(Table1[[#This Row],[Host]]="Mastomys natalensis", "Mn", IF(Table1[[#This Row],[Host]]="Homo Sapiens","Human","PROBLEMMEMEMMEMEMEMM"))</f>
        <v>Mn</v>
      </c>
      <c r="AK109" s="2" t="s">
        <v>53</v>
      </c>
      <c r="AL109" s="5">
        <v>42691</v>
      </c>
      <c r="AM109" s="6" t="s">
        <v>1064</v>
      </c>
      <c r="AO109" s="2" t="s">
        <v>332</v>
      </c>
    </row>
    <row r="110" spans="1:41" x14ac:dyDescent="0.3">
      <c r="A110" s="2">
        <v>146</v>
      </c>
      <c r="B110" s="2" t="str">
        <f>_xlfn.CONCAT(Table1[[#This Row],[Acession_no_.1]],"|",Table1[[#This Row],[Strain name]],"|",Table1[[#This Row],[host_simple]],"|",Table1[[#This Row],[Country]],"|",Table1[[#This Row],[date_text]])</f>
        <v>MT119605|Dam-192|Mn|Guinea|2016-11-17</v>
      </c>
      <c r="C110" s="2" t="s">
        <v>1289</v>
      </c>
      <c r="D110" s="2" t="str">
        <f>IF(ISNUMBER(MATCH(B110,finalSelection!$A$1:$A$497,0)),"yes","no")</f>
        <v>no</v>
      </c>
      <c r="E110" s="2" t="s">
        <v>875</v>
      </c>
      <c r="F110" s="2" t="s">
        <v>333</v>
      </c>
      <c r="H110" s="2" t="s">
        <v>331</v>
      </c>
      <c r="I110" s="2" t="s">
        <v>56</v>
      </c>
      <c r="J110" s="2" t="s">
        <v>37</v>
      </c>
      <c r="K110" s="2" t="s">
        <v>38</v>
      </c>
      <c r="L110" s="2" t="s">
        <v>37</v>
      </c>
      <c r="M110" s="2" t="str">
        <f>VLOOKUP(C110,seqConcatenated!$A$1:$B$124,2, FALSE)</f>
        <v>MT119520 and MT119605 are merged</v>
      </c>
      <c r="N110" s="2" t="str">
        <f>IF(ISNA(Table1[[#This Row],[Column2]]),Table1[[#This Row],[comments2]], IF(O110="NA",M110,_xlfn.CONCAT(O110,"--",M110)))</f>
        <v>MT119520 and MT119605 are merged</v>
      </c>
      <c r="O110" s="2" t="s">
        <v>39</v>
      </c>
      <c r="P110" s="2" t="s">
        <v>40</v>
      </c>
      <c r="Q110" s="2" t="s">
        <v>41</v>
      </c>
      <c r="S110" s="2" t="s">
        <v>42</v>
      </c>
      <c r="T110" s="2" t="s">
        <v>43</v>
      </c>
      <c r="U110" s="2" t="s">
        <v>44</v>
      </c>
      <c r="V110" s="2" t="s">
        <v>45</v>
      </c>
      <c r="W110" s="2">
        <v>735</v>
      </c>
      <c r="X110" s="2" t="s">
        <v>46</v>
      </c>
      <c r="Y110" s="2" t="s">
        <v>47</v>
      </c>
      <c r="AA110" s="2" t="s">
        <v>48</v>
      </c>
      <c r="AB110" s="2">
        <v>1</v>
      </c>
      <c r="AC110" s="2" t="s">
        <v>293</v>
      </c>
      <c r="AD110" s="2" t="s">
        <v>50</v>
      </c>
      <c r="AE110" s="4">
        <v>9.8068329999999992</v>
      </c>
      <c r="AF110" s="4">
        <v>-10.863267</v>
      </c>
      <c r="AG110" s="2" t="s">
        <v>51</v>
      </c>
      <c r="AI110" s="2" t="s">
        <v>52</v>
      </c>
      <c r="AJ110" s="2" t="str">
        <f>IF(Table1[[#This Row],[Host]]="Mastomys natalensis", "Mn", IF(Table1[[#This Row],[Host]]="Homo Sapiens","Human","PROBLEMMEMEMMEMEMEMM"))</f>
        <v>Mn</v>
      </c>
      <c r="AK110" s="2" t="s">
        <v>53</v>
      </c>
      <c r="AL110" s="5">
        <v>42691</v>
      </c>
      <c r="AM110" s="6" t="s">
        <v>1064</v>
      </c>
      <c r="AO110" s="2" t="s">
        <v>334</v>
      </c>
    </row>
    <row r="111" spans="1:41" x14ac:dyDescent="0.3">
      <c r="A111" s="2">
        <v>44</v>
      </c>
      <c r="B111" s="2" t="str">
        <f>_xlfn.CONCAT(Table1[[#This Row],[Acession_no_.1]],"|",Table1[[#This Row],[Strain name]],"|",Table1[[#This Row],[host_simple]],"|",Table1[[#This Row],[Country]],"|",Table1[[#This Row],[date_text]])</f>
        <v>MT119503|Dam-29|Mn|Guinea|2013-11-16</v>
      </c>
      <c r="C111" s="2" t="s">
        <v>1290</v>
      </c>
      <c r="D111" s="2" t="str">
        <f>IF(ISNUMBER(MATCH(B111,finalSelection!$A$1:$A$497,0)),"yes","no")</f>
        <v>no</v>
      </c>
      <c r="E111" s="2" t="s">
        <v>876</v>
      </c>
      <c r="F111" s="2" t="s">
        <v>335</v>
      </c>
      <c r="H111" s="2" t="s">
        <v>336</v>
      </c>
      <c r="I111" s="2" t="s">
        <v>36</v>
      </c>
      <c r="J111" s="2" t="s">
        <v>37</v>
      </c>
      <c r="K111" s="2" t="s">
        <v>38</v>
      </c>
      <c r="L111" s="2" t="s">
        <v>37</v>
      </c>
      <c r="M111" s="2" t="e">
        <f>VLOOKUP(C111,seqConcatenated!$A$1:$B$124,2, FALSE)</f>
        <v>#N/A</v>
      </c>
      <c r="N111" s="2" t="str">
        <f>IF(ISNA(Table1[[#This Row],[Column2]]),Table1[[#This Row],[comments2]], IF(O111="NA",M111,_xlfn.CONCAT(O111,"--",M111)))</f>
        <v>NA</v>
      </c>
      <c r="O111" s="2" t="s">
        <v>39</v>
      </c>
      <c r="P111" s="2" t="s">
        <v>40</v>
      </c>
      <c r="Q111" s="2" t="s">
        <v>41</v>
      </c>
      <c r="S111" s="2" t="s">
        <v>42</v>
      </c>
      <c r="T111" s="2" t="s">
        <v>43</v>
      </c>
      <c r="U111" s="2" t="s">
        <v>44</v>
      </c>
      <c r="V111" s="2" t="s">
        <v>45</v>
      </c>
      <c r="W111" s="2">
        <v>888</v>
      </c>
      <c r="X111" s="2" t="s">
        <v>46</v>
      </c>
      <c r="Y111" s="2" t="s">
        <v>47</v>
      </c>
      <c r="AA111" s="2" t="s">
        <v>48</v>
      </c>
      <c r="AB111" s="2">
        <v>1</v>
      </c>
      <c r="AC111" s="2" t="s">
        <v>293</v>
      </c>
      <c r="AD111" s="2" t="s">
        <v>50</v>
      </c>
      <c r="AE111" s="4">
        <v>9.8068329999999992</v>
      </c>
      <c r="AF111" s="4">
        <v>-10.863267</v>
      </c>
      <c r="AG111" s="2" t="s">
        <v>51</v>
      </c>
      <c r="AI111" s="2" t="s">
        <v>52</v>
      </c>
      <c r="AJ111" s="2" t="str">
        <f>IF(Table1[[#This Row],[Host]]="Mastomys natalensis", "Mn", IF(Table1[[#This Row],[Host]]="Homo Sapiens","Human","PROBLEMMEMEMMEMEMEMM"))</f>
        <v>Mn</v>
      </c>
      <c r="AK111" s="2" t="s">
        <v>53</v>
      </c>
      <c r="AL111" s="5">
        <v>41594</v>
      </c>
      <c r="AM111" s="6" t="s">
        <v>1065</v>
      </c>
      <c r="AO111" s="2" t="s">
        <v>337</v>
      </c>
    </row>
    <row r="112" spans="1:41" x14ac:dyDescent="0.3">
      <c r="A112" s="2">
        <v>45</v>
      </c>
      <c r="B112" s="2" t="str">
        <f>_xlfn.CONCAT(Table1[[#This Row],[Acession_no_.1]],"|",Table1[[#This Row],[Strain name]],"|",Table1[[#This Row],[host_simple]],"|",Table1[[#This Row],[Country]],"|",Table1[[#This Row],[date_text]])</f>
        <v>MT119504|Dam-30|Mn|Guinea|2013-11-16</v>
      </c>
      <c r="C112" s="2" t="s">
        <v>1291</v>
      </c>
      <c r="D112" s="2" t="str">
        <f>IF(ISNUMBER(MATCH(B112,finalSelection!$A$1:$A$497,0)),"yes","no")</f>
        <v>no</v>
      </c>
      <c r="E112" s="2" t="s">
        <v>877</v>
      </c>
      <c r="F112" s="2" t="s">
        <v>338</v>
      </c>
      <c r="H112" s="2" t="s">
        <v>339</v>
      </c>
      <c r="I112" s="2" t="s">
        <v>36</v>
      </c>
      <c r="J112" s="2" t="s">
        <v>37</v>
      </c>
      <c r="K112" s="2" t="s">
        <v>38</v>
      </c>
      <c r="L112" s="2" t="s">
        <v>37</v>
      </c>
      <c r="M112" s="2" t="e">
        <f>VLOOKUP(C112,seqConcatenated!$A$1:$B$124,2, FALSE)</f>
        <v>#N/A</v>
      </c>
      <c r="N112" s="2" t="str">
        <f>IF(ISNA(Table1[[#This Row],[Column2]]),Table1[[#This Row],[comments2]], IF(O112="NA",M112,_xlfn.CONCAT(O112,"--",M112)))</f>
        <v>NA</v>
      </c>
      <c r="O112" s="2" t="s">
        <v>39</v>
      </c>
      <c r="P112" s="2" t="s">
        <v>40</v>
      </c>
      <c r="Q112" s="2" t="s">
        <v>41</v>
      </c>
      <c r="S112" s="2" t="s">
        <v>42</v>
      </c>
      <c r="T112" s="2" t="s">
        <v>43</v>
      </c>
      <c r="U112" s="2" t="s">
        <v>44</v>
      </c>
      <c r="V112" s="2" t="s">
        <v>45</v>
      </c>
      <c r="W112" s="2">
        <v>888</v>
      </c>
      <c r="X112" s="2" t="s">
        <v>46</v>
      </c>
      <c r="Y112" s="2" t="s">
        <v>47</v>
      </c>
      <c r="AA112" s="2" t="s">
        <v>48</v>
      </c>
      <c r="AB112" s="2">
        <v>1</v>
      </c>
      <c r="AC112" s="2" t="s">
        <v>293</v>
      </c>
      <c r="AD112" s="2" t="s">
        <v>50</v>
      </c>
      <c r="AE112" s="4">
        <v>9.8068329999999992</v>
      </c>
      <c r="AF112" s="4">
        <v>-10.863267</v>
      </c>
      <c r="AG112" s="2" t="s">
        <v>51</v>
      </c>
      <c r="AI112" s="2" t="s">
        <v>52</v>
      </c>
      <c r="AJ112" s="2" t="str">
        <f>IF(Table1[[#This Row],[Host]]="Mastomys natalensis", "Mn", IF(Table1[[#This Row],[Host]]="Homo Sapiens","Human","PROBLEMMEMEMMEMEMEMM"))</f>
        <v>Mn</v>
      </c>
      <c r="AK112" s="2" t="s">
        <v>53</v>
      </c>
      <c r="AL112" s="5">
        <v>41594</v>
      </c>
      <c r="AM112" s="6" t="s">
        <v>1065</v>
      </c>
      <c r="AO112" s="2" t="s">
        <v>340</v>
      </c>
    </row>
    <row r="113" spans="1:41" x14ac:dyDescent="0.3">
      <c r="A113" s="2">
        <v>46</v>
      </c>
      <c r="B113" s="2" t="str">
        <f>_xlfn.CONCAT(Table1[[#This Row],[Acession_no_.1]],"|",Table1[[#This Row],[Strain name]],"|",Table1[[#This Row],[host_simple]],"|",Table1[[#This Row],[Country]],"|",Table1[[#This Row],[date_text]])</f>
        <v>MT119505|Dam-31|Mn|Guinea|2013-11-16</v>
      </c>
      <c r="C113" s="2" t="s">
        <v>1292</v>
      </c>
      <c r="D113" s="2" t="str">
        <f>IF(ISNUMBER(MATCH(B113,finalSelection!$A$1:$A$497,0)),"yes","no")</f>
        <v>no</v>
      </c>
      <c r="E113" s="2" t="s">
        <v>878</v>
      </c>
      <c r="F113" s="2" t="s">
        <v>341</v>
      </c>
      <c r="H113" s="2" t="s">
        <v>342</v>
      </c>
      <c r="I113" s="2" t="s">
        <v>36</v>
      </c>
      <c r="J113" s="2" t="s">
        <v>37</v>
      </c>
      <c r="K113" s="2" t="s">
        <v>38</v>
      </c>
      <c r="L113" s="2" t="s">
        <v>37</v>
      </c>
      <c r="M113" s="2" t="e">
        <f>VLOOKUP(C113,seqConcatenated!$A$1:$B$124,2, FALSE)</f>
        <v>#N/A</v>
      </c>
      <c r="N113" s="2" t="str">
        <f>IF(ISNA(Table1[[#This Row],[Column2]]),Table1[[#This Row],[comments2]], IF(O113="NA",M113,_xlfn.CONCAT(O113,"--",M113)))</f>
        <v>NA</v>
      </c>
      <c r="O113" s="2" t="s">
        <v>39</v>
      </c>
      <c r="P113" s="2" t="s">
        <v>40</v>
      </c>
      <c r="Q113" s="2" t="s">
        <v>41</v>
      </c>
      <c r="S113" s="2" t="s">
        <v>42</v>
      </c>
      <c r="T113" s="2" t="s">
        <v>43</v>
      </c>
      <c r="U113" s="2" t="s">
        <v>44</v>
      </c>
      <c r="V113" s="2" t="s">
        <v>45</v>
      </c>
      <c r="W113" s="2">
        <v>888</v>
      </c>
      <c r="X113" s="2" t="s">
        <v>46</v>
      </c>
      <c r="Y113" s="2" t="s">
        <v>47</v>
      </c>
      <c r="AA113" s="2" t="s">
        <v>48</v>
      </c>
      <c r="AB113" s="2">
        <v>1</v>
      </c>
      <c r="AC113" s="2" t="s">
        <v>293</v>
      </c>
      <c r="AD113" s="2" t="s">
        <v>50</v>
      </c>
      <c r="AE113" s="4">
        <v>9.8068329999999992</v>
      </c>
      <c r="AF113" s="4">
        <v>-10.863267</v>
      </c>
      <c r="AG113" s="2" t="s">
        <v>51</v>
      </c>
      <c r="AI113" s="2" t="s">
        <v>52</v>
      </c>
      <c r="AJ113" s="2" t="str">
        <f>IF(Table1[[#This Row],[Host]]="Mastomys natalensis", "Mn", IF(Table1[[#This Row],[Host]]="Homo Sapiens","Human","PROBLEMMEMEMMEMEMEMM"))</f>
        <v>Mn</v>
      </c>
      <c r="AK113" s="2" t="s">
        <v>53</v>
      </c>
      <c r="AL113" s="5">
        <v>41594</v>
      </c>
      <c r="AM113" s="6" t="s">
        <v>1065</v>
      </c>
      <c r="AO113" s="2" t="s">
        <v>343</v>
      </c>
    </row>
    <row r="114" spans="1:41" x14ac:dyDescent="0.3">
      <c r="A114" s="2">
        <v>47</v>
      </c>
      <c r="B114" s="2" t="str">
        <f>_xlfn.CONCAT(Table1[[#This Row],[Acession_no_.1]],"|",Table1[[#This Row],[Strain name]],"|",Table1[[#This Row],[host_simple]],"|",Table1[[#This Row],[Country]],"|",Table1[[#This Row],[date_text]])</f>
        <v>MT119506|Dam-54|Mn|Guinea|2014-03-25</v>
      </c>
      <c r="C114" s="2" t="s">
        <v>1293</v>
      </c>
      <c r="D114" s="2" t="str">
        <f>IF(ISNUMBER(MATCH(B114,finalSelection!$A$1:$A$497,0)),"yes","no")</f>
        <v>yes</v>
      </c>
      <c r="E114" s="2" t="s">
        <v>879</v>
      </c>
      <c r="F114" s="2" t="s">
        <v>344</v>
      </c>
      <c r="H114" s="2" t="s">
        <v>345</v>
      </c>
      <c r="I114" s="2" t="s">
        <v>36</v>
      </c>
      <c r="J114" s="2" t="s">
        <v>37</v>
      </c>
      <c r="K114" s="2" t="s">
        <v>38</v>
      </c>
      <c r="L114" s="2" t="s">
        <v>37</v>
      </c>
      <c r="M114" s="2" t="str">
        <f>VLOOKUP(C114,seqConcatenated!$A$1:$B$124,2, FALSE)</f>
        <v>MT119506 and MT119594 are merged</v>
      </c>
      <c r="N114" s="2" t="str">
        <f>IF(ISNA(Table1[[#This Row],[Column2]]),Table1[[#This Row],[comments2]], IF(O114="NA",M114,_xlfn.CONCAT(O114,"--",M114)))</f>
        <v>MT119506 and MT119594 are merged</v>
      </c>
      <c r="O114" s="2" t="s">
        <v>39</v>
      </c>
      <c r="P114" s="2" t="s">
        <v>40</v>
      </c>
      <c r="Q114" s="2" t="s">
        <v>41</v>
      </c>
      <c r="S114" s="2" t="s">
        <v>42</v>
      </c>
      <c r="T114" s="2" t="s">
        <v>43</v>
      </c>
      <c r="U114" s="2" t="s">
        <v>44</v>
      </c>
      <c r="V114" s="2" t="s">
        <v>45</v>
      </c>
      <c r="W114" s="2">
        <v>888</v>
      </c>
      <c r="X114" s="2" t="s">
        <v>46</v>
      </c>
      <c r="Y114" s="2" t="s">
        <v>47</v>
      </c>
      <c r="AA114" s="2" t="s">
        <v>48</v>
      </c>
      <c r="AB114" s="2">
        <v>1</v>
      </c>
      <c r="AC114" s="2" t="s">
        <v>293</v>
      </c>
      <c r="AD114" s="2" t="s">
        <v>50</v>
      </c>
      <c r="AE114" s="4">
        <v>9.8068329999999992</v>
      </c>
      <c r="AF114" s="4">
        <v>-10.863267</v>
      </c>
      <c r="AG114" s="2" t="s">
        <v>51</v>
      </c>
      <c r="AI114" s="2" t="s">
        <v>52</v>
      </c>
      <c r="AJ114" s="2" t="str">
        <f>IF(Table1[[#This Row],[Host]]="Mastomys natalensis", "Mn", IF(Table1[[#This Row],[Host]]="Homo Sapiens","Human","PROBLEMMEMEMMEMEMEMM"))</f>
        <v>Mn</v>
      </c>
      <c r="AK114" s="2" t="s">
        <v>53</v>
      </c>
      <c r="AL114" s="5">
        <v>41723</v>
      </c>
      <c r="AM114" s="6" t="s">
        <v>1066</v>
      </c>
      <c r="AO114" s="2" t="s">
        <v>346</v>
      </c>
    </row>
    <row r="115" spans="1:41" x14ac:dyDescent="0.3">
      <c r="A115" s="2">
        <v>135</v>
      </c>
      <c r="B115" s="2" t="str">
        <f>_xlfn.CONCAT(Table1[[#This Row],[Acession_no_.1]],"|",Table1[[#This Row],[Strain name]],"|",Table1[[#This Row],[host_simple]],"|",Table1[[#This Row],[Country]],"|",Table1[[#This Row],[date_text]])</f>
        <v>MT119594|Dam-54|Mn|Guinea|2014-03-25</v>
      </c>
      <c r="C115" s="2" t="s">
        <v>1293</v>
      </c>
      <c r="D115" s="2" t="str">
        <f>IF(ISNUMBER(MATCH(B115,finalSelection!$A$1:$A$497,0)),"yes","no")</f>
        <v>no</v>
      </c>
      <c r="E115" s="2" t="s">
        <v>880</v>
      </c>
      <c r="F115" s="2" t="s">
        <v>347</v>
      </c>
      <c r="H115" s="2" t="s">
        <v>345</v>
      </c>
      <c r="I115" s="2" t="s">
        <v>56</v>
      </c>
      <c r="J115" s="2" t="s">
        <v>37</v>
      </c>
      <c r="K115" s="2" t="s">
        <v>38</v>
      </c>
      <c r="L115" s="2" t="s">
        <v>37</v>
      </c>
      <c r="M115" s="2" t="str">
        <f>VLOOKUP(C115,seqConcatenated!$A$1:$B$124,2, FALSE)</f>
        <v>MT119506 and MT119594 are merged</v>
      </c>
      <c r="N115" s="2" t="str">
        <f>IF(ISNA(Table1[[#This Row],[Column2]]),Table1[[#This Row],[comments2]], IF(O115="NA",M115,_xlfn.CONCAT(O115,"--",M115)))</f>
        <v>MT119506 and MT119594 are merged</v>
      </c>
      <c r="O115" s="2" t="s">
        <v>39</v>
      </c>
      <c r="P115" s="2" t="s">
        <v>40</v>
      </c>
      <c r="Q115" s="2" t="s">
        <v>41</v>
      </c>
      <c r="S115" s="2" t="s">
        <v>42</v>
      </c>
      <c r="T115" s="2" t="s">
        <v>43</v>
      </c>
      <c r="U115" s="2" t="s">
        <v>44</v>
      </c>
      <c r="V115" s="2" t="s">
        <v>45</v>
      </c>
      <c r="W115" s="2">
        <v>735</v>
      </c>
      <c r="X115" s="2" t="s">
        <v>46</v>
      </c>
      <c r="Y115" s="2" t="s">
        <v>47</v>
      </c>
      <c r="AA115" s="2" t="s">
        <v>48</v>
      </c>
      <c r="AB115" s="2">
        <v>1</v>
      </c>
      <c r="AC115" s="2" t="s">
        <v>293</v>
      </c>
      <c r="AD115" s="2" t="s">
        <v>50</v>
      </c>
      <c r="AE115" s="4">
        <v>9.8068329999999992</v>
      </c>
      <c r="AF115" s="4">
        <v>-10.863267</v>
      </c>
      <c r="AG115" s="2" t="s">
        <v>51</v>
      </c>
      <c r="AI115" s="2" t="s">
        <v>52</v>
      </c>
      <c r="AJ115" s="2" t="str">
        <f>IF(Table1[[#This Row],[Host]]="Mastomys natalensis", "Mn", IF(Table1[[#This Row],[Host]]="Homo Sapiens","Human","PROBLEMMEMEMMEMEMEMM"))</f>
        <v>Mn</v>
      </c>
      <c r="AK115" s="2" t="s">
        <v>53</v>
      </c>
      <c r="AL115" s="5">
        <v>41723</v>
      </c>
      <c r="AM115" s="6" t="s">
        <v>1066</v>
      </c>
      <c r="AO115" s="2" t="s">
        <v>348</v>
      </c>
    </row>
    <row r="116" spans="1:41" x14ac:dyDescent="0.3">
      <c r="A116" s="2">
        <v>48</v>
      </c>
      <c r="B116" s="2" t="str">
        <f>_xlfn.CONCAT(Table1[[#This Row],[Acession_no_.1]],"|",Table1[[#This Row],[Strain name]],"|",Table1[[#This Row],[host_simple]],"|",Table1[[#This Row],[Country]],"|",Table1[[#This Row],[date_text]])</f>
        <v>MT119507|Dam-59|Mn|Guinea|2014-03-25</v>
      </c>
      <c r="C116" s="2" t="s">
        <v>1294</v>
      </c>
      <c r="D116" s="2" t="str">
        <f>IF(ISNUMBER(MATCH(B116,finalSelection!$A$1:$A$497,0)),"yes","no")</f>
        <v>yes</v>
      </c>
      <c r="E116" s="2" t="s">
        <v>881</v>
      </c>
      <c r="F116" s="2" t="s">
        <v>349</v>
      </c>
      <c r="H116" s="2" t="s">
        <v>350</v>
      </c>
      <c r="I116" s="2" t="s">
        <v>36</v>
      </c>
      <c r="J116" s="2" t="s">
        <v>37</v>
      </c>
      <c r="K116" s="2" t="s">
        <v>38</v>
      </c>
      <c r="L116" s="2" t="s">
        <v>37</v>
      </c>
      <c r="M116" s="2" t="str">
        <f>VLOOKUP(C116,seqConcatenated!$A$1:$B$124,2, FALSE)</f>
        <v>MT119507 and MT119595 are merged</v>
      </c>
      <c r="N116" s="2" t="str">
        <f>IF(ISNA(Table1[[#This Row],[Column2]]),Table1[[#This Row],[comments2]], IF(O116="NA",M116,_xlfn.CONCAT(O116,"--",M116)))</f>
        <v>MT119507 and MT119595 are merged</v>
      </c>
      <c r="O116" s="2" t="s">
        <v>39</v>
      </c>
      <c r="P116" s="2" t="s">
        <v>40</v>
      </c>
      <c r="Q116" s="2" t="s">
        <v>41</v>
      </c>
      <c r="S116" s="2" t="s">
        <v>42</v>
      </c>
      <c r="T116" s="2" t="s">
        <v>43</v>
      </c>
      <c r="U116" s="2" t="s">
        <v>44</v>
      </c>
      <c r="V116" s="2" t="s">
        <v>45</v>
      </c>
      <c r="W116" s="2">
        <v>888</v>
      </c>
      <c r="X116" s="2" t="s">
        <v>46</v>
      </c>
      <c r="Y116" s="2" t="s">
        <v>47</v>
      </c>
      <c r="AA116" s="2" t="s">
        <v>48</v>
      </c>
      <c r="AB116" s="2">
        <v>1</v>
      </c>
      <c r="AC116" s="2" t="s">
        <v>293</v>
      </c>
      <c r="AD116" s="2" t="s">
        <v>50</v>
      </c>
      <c r="AE116" s="4">
        <v>9.8068329999999992</v>
      </c>
      <c r="AF116" s="4">
        <v>-10.863267</v>
      </c>
      <c r="AG116" s="2" t="s">
        <v>51</v>
      </c>
      <c r="AI116" s="2" t="s">
        <v>52</v>
      </c>
      <c r="AJ116" s="2" t="str">
        <f>IF(Table1[[#This Row],[Host]]="Mastomys natalensis", "Mn", IF(Table1[[#This Row],[Host]]="Homo Sapiens","Human","PROBLEMMEMEMMEMEMEMM"))</f>
        <v>Mn</v>
      </c>
      <c r="AK116" s="2" t="s">
        <v>53</v>
      </c>
      <c r="AL116" s="5">
        <v>41723</v>
      </c>
      <c r="AM116" s="6" t="s">
        <v>1066</v>
      </c>
      <c r="AO116" s="2" t="s">
        <v>351</v>
      </c>
    </row>
    <row r="117" spans="1:41" x14ac:dyDescent="0.3">
      <c r="A117" s="2">
        <v>136</v>
      </c>
      <c r="B117" s="2" t="str">
        <f>_xlfn.CONCAT(Table1[[#This Row],[Acession_no_.1]],"|",Table1[[#This Row],[Strain name]],"|",Table1[[#This Row],[host_simple]],"|",Table1[[#This Row],[Country]],"|",Table1[[#This Row],[date_text]])</f>
        <v>MT119595|Dam-59|Mn|Guinea|2014-03-25</v>
      </c>
      <c r="C117" s="2" t="s">
        <v>1294</v>
      </c>
      <c r="D117" s="2" t="str">
        <f>IF(ISNUMBER(MATCH(B117,finalSelection!$A$1:$A$497,0)),"yes","no")</f>
        <v>no</v>
      </c>
      <c r="E117" s="2" t="s">
        <v>882</v>
      </c>
      <c r="F117" s="2" t="s">
        <v>352</v>
      </c>
      <c r="H117" s="2" t="s">
        <v>350</v>
      </c>
      <c r="I117" s="2" t="s">
        <v>56</v>
      </c>
      <c r="J117" s="2" t="s">
        <v>37</v>
      </c>
      <c r="K117" s="2" t="s">
        <v>38</v>
      </c>
      <c r="L117" s="2" t="s">
        <v>37</v>
      </c>
      <c r="M117" s="2" t="str">
        <f>VLOOKUP(C117,seqConcatenated!$A$1:$B$124,2, FALSE)</f>
        <v>MT119507 and MT119595 are merged</v>
      </c>
      <c r="N117" s="2" t="str">
        <f>IF(ISNA(Table1[[#This Row],[Column2]]),Table1[[#This Row],[comments2]], IF(O117="NA",M117,_xlfn.CONCAT(O117,"--",M117)))</f>
        <v>MT119507 and MT119595 are merged</v>
      </c>
      <c r="O117" s="2" t="s">
        <v>39</v>
      </c>
      <c r="P117" s="2" t="s">
        <v>40</v>
      </c>
      <c r="Q117" s="2" t="s">
        <v>41</v>
      </c>
      <c r="S117" s="2" t="s">
        <v>42</v>
      </c>
      <c r="T117" s="2" t="s">
        <v>43</v>
      </c>
      <c r="U117" s="2" t="s">
        <v>44</v>
      </c>
      <c r="V117" s="2" t="s">
        <v>45</v>
      </c>
      <c r="W117" s="2">
        <v>735</v>
      </c>
      <c r="X117" s="2" t="s">
        <v>46</v>
      </c>
      <c r="Y117" s="2" t="s">
        <v>47</v>
      </c>
      <c r="AA117" s="2" t="s">
        <v>48</v>
      </c>
      <c r="AB117" s="2">
        <v>1</v>
      </c>
      <c r="AC117" s="2" t="s">
        <v>293</v>
      </c>
      <c r="AD117" s="2" t="s">
        <v>50</v>
      </c>
      <c r="AE117" s="4">
        <v>9.8068329999999992</v>
      </c>
      <c r="AF117" s="4">
        <v>-10.863267</v>
      </c>
      <c r="AG117" s="2" t="s">
        <v>51</v>
      </c>
      <c r="AI117" s="2" t="s">
        <v>52</v>
      </c>
      <c r="AJ117" s="2" t="str">
        <f>IF(Table1[[#This Row],[Host]]="Mastomys natalensis", "Mn", IF(Table1[[#This Row],[Host]]="Homo Sapiens","Human","PROBLEMMEMEMMEMEMEMM"))</f>
        <v>Mn</v>
      </c>
      <c r="AK117" s="2" t="s">
        <v>53</v>
      </c>
      <c r="AL117" s="5">
        <v>41723</v>
      </c>
      <c r="AM117" s="6" t="s">
        <v>1066</v>
      </c>
      <c r="AO117" s="2" t="s">
        <v>353</v>
      </c>
    </row>
    <row r="118" spans="1:41" x14ac:dyDescent="0.3">
      <c r="A118" s="2">
        <v>49</v>
      </c>
      <c r="B118" s="2" t="str">
        <f>_xlfn.CONCAT(Table1[[#This Row],[Acession_no_.1]],"|",Table1[[#This Row],[Strain name]],"|",Table1[[#This Row],[host_simple]],"|",Table1[[#This Row],[Country]],"|",Table1[[#This Row],[date_text]])</f>
        <v>MT119508|Dam-65|Mn|Guinea|2014-03-26</v>
      </c>
      <c r="C118" s="2" t="s">
        <v>1295</v>
      </c>
      <c r="D118" s="2" t="str">
        <f>IF(ISNUMBER(MATCH(B118,finalSelection!$A$1:$A$497,0)),"yes","no")</f>
        <v>yes</v>
      </c>
      <c r="E118" s="2" t="s">
        <v>883</v>
      </c>
      <c r="F118" s="2" t="s">
        <v>354</v>
      </c>
      <c r="H118" s="2" t="s">
        <v>355</v>
      </c>
      <c r="I118" s="2" t="s">
        <v>36</v>
      </c>
      <c r="J118" s="2" t="s">
        <v>37</v>
      </c>
      <c r="K118" s="2" t="s">
        <v>38</v>
      </c>
      <c r="L118" s="2" t="s">
        <v>37</v>
      </c>
      <c r="M118" s="2" t="str">
        <f>VLOOKUP(C118,seqConcatenated!$A$1:$B$124,2, FALSE)</f>
        <v>MT119508 and MT119596 are merged</v>
      </c>
      <c r="N118" s="2" t="str">
        <f>IF(ISNA(Table1[[#This Row],[Column2]]),Table1[[#This Row],[comments2]], IF(O118="NA",M118,_xlfn.CONCAT(O118,"--",M118)))</f>
        <v>MT119508 and MT119596 are merged</v>
      </c>
      <c r="O118" s="2" t="s">
        <v>39</v>
      </c>
      <c r="P118" s="2" t="s">
        <v>40</v>
      </c>
      <c r="Q118" s="2" t="s">
        <v>41</v>
      </c>
      <c r="S118" s="2" t="s">
        <v>42</v>
      </c>
      <c r="T118" s="2" t="s">
        <v>43</v>
      </c>
      <c r="U118" s="2" t="s">
        <v>44</v>
      </c>
      <c r="V118" s="2" t="s">
        <v>45</v>
      </c>
      <c r="W118" s="2">
        <v>888</v>
      </c>
      <c r="X118" s="2" t="s">
        <v>46</v>
      </c>
      <c r="Y118" s="2" t="s">
        <v>47</v>
      </c>
      <c r="AA118" s="2" t="s">
        <v>48</v>
      </c>
      <c r="AB118" s="2">
        <v>1</v>
      </c>
      <c r="AC118" s="2" t="s">
        <v>293</v>
      </c>
      <c r="AD118" s="2" t="s">
        <v>50</v>
      </c>
      <c r="AE118" s="4">
        <v>9.8068329999999992</v>
      </c>
      <c r="AF118" s="4">
        <v>-10.863267</v>
      </c>
      <c r="AG118" s="2" t="s">
        <v>51</v>
      </c>
      <c r="AI118" s="2" t="s">
        <v>52</v>
      </c>
      <c r="AJ118" s="2" t="str">
        <f>IF(Table1[[#This Row],[Host]]="Mastomys natalensis", "Mn", IF(Table1[[#This Row],[Host]]="Homo Sapiens","Human","PROBLEMMEMEMMEMEMEMM"))</f>
        <v>Mn</v>
      </c>
      <c r="AK118" s="2" t="s">
        <v>53</v>
      </c>
      <c r="AL118" s="5">
        <v>41724</v>
      </c>
      <c r="AM118" s="6" t="s">
        <v>1067</v>
      </c>
      <c r="AO118" s="2" t="s">
        <v>356</v>
      </c>
    </row>
    <row r="119" spans="1:41" x14ac:dyDescent="0.3">
      <c r="A119" s="2">
        <v>137</v>
      </c>
      <c r="B119" s="2" t="str">
        <f>_xlfn.CONCAT(Table1[[#This Row],[Acession_no_.1]],"|",Table1[[#This Row],[Strain name]],"|",Table1[[#This Row],[host_simple]],"|",Table1[[#This Row],[Country]],"|",Table1[[#This Row],[date_text]])</f>
        <v>MT119596|Dam-65|Mn|Guinea|2014-03-26</v>
      </c>
      <c r="C119" s="2" t="s">
        <v>1295</v>
      </c>
      <c r="D119" s="2" t="str">
        <f>IF(ISNUMBER(MATCH(B119,finalSelection!$A$1:$A$497,0)),"yes","no")</f>
        <v>no</v>
      </c>
      <c r="E119" s="2" t="s">
        <v>884</v>
      </c>
      <c r="F119" s="2" t="s">
        <v>357</v>
      </c>
      <c r="H119" s="2" t="s">
        <v>355</v>
      </c>
      <c r="I119" s="2" t="s">
        <v>56</v>
      </c>
      <c r="J119" s="2" t="s">
        <v>37</v>
      </c>
      <c r="K119" s="2" t="s">
        <v>38</v>
      </c>
      <c r="L119" s="2" t="s">
        <v>37</v>
      </c>
      <c r="M119" s="2" t="str">
        <f>VLOOKUP(C119,seqConcatenated!$A$1:$B$124,2, FALSE)</f>
        <v>MT119508 and MT119596 are merged</v>
      </c>
      <c r="N119" s="2" t="str">
        <f>IF(ISNA(Table1[[#This Row],[Column2]]),Table1[[#This Row],[comments2]], IF(O119="NA",M119,_xlfn.CONCAT(O119,"--",M119)))</f>
        <v>MT119508 and MT119596 are merged</v>
      </c>
      <c r="O119" s="2" t="s">
        <v>39</v>
      </c>
      <c r="P119" s="2" t="s">
        <v>40</v>
      </c>
      <c r="Q119" s="2" t="s">
        <v>41</v>
      </c>
      <c r="S119" s="2" t="s">
        <v>42</v>
      </c>
      <c r="T119" s="2" t="s">
        <v>43</v>
      </c>
      <c r="U119" s="2" t="s">
        <v>44</v>
      </c>
      <c r="V119" s="2" t="s">
        <v>45</v>
      </c>
      <c r="W119" s="2">
        <v>735</v>
      </c>
      <c r="X119" s="2" t="s">
        <v>46</v>
      </c>
      <c r="Y119" s="2" t="s">
        <v>47</v>
      </c>
      <c r="AA119" s="2" t="s">
        <v>48</v>
      </c>
      <c r="AB119" s="2">
        <v>1</v>
      </c>
      <c r="AC119" s="2" t="s">
        <v>293</v>
      </c>
      <c r="AD119" s="2" t="s">
        <v>50</v>
      </c>
      <c r="AE119" s="4">
        <v>9.8068329999999992</v>
      </c>
      <c r="AF119" s="4">
        <v>-10.863267</v>
      </c>
      <c r="AG119" s="2" t="s">
        <v>51</v>
      </c>
      <c r="AI119" s="2" t="s">
        <v>52</v>
      </c>
      <c r="AJ119" s="2" t="str">
        <f>IF(Table1[[#This Row],[Host]]="Mastomys natalensis", "Mn", IF(Table1[[#This Row],[Host]]="Homo Sapiens","Human","PROBLEMMEMEMMEMEMEMM"))</f>
        <v>Mn</v>
      </c>
      <c r="AK119" s="2" t="s">
        <v>53</v>
      </c>
      <c r="AL119" s="5">
        <v>41724</v>
      </c>
      <c r="AM119" s="6" t="s">
        <v>1067</v>
      </c>
      <c r="AO119" s="2" t="s">
        <v>358</v>
      </c>
    </row>
    <row r="120" spans="1:41" x14ac:dyDescent="0.3">
      <c r="A120" s="2">
        <v>50</v>
      </c>
      <c r="B120" s="2" t="str">
        <f>_xlfn.CONCAT(Table1[[#This Row],[Acession_no_.1]],"|",Table1[[#This Row],[Strain name]],"|",Table1[[#This Row],[host_simple]],"|",Table1[[#This Row],[Country]],"|",Table1[[#This Row],[date_text]])</f>
        <v>MT119509|Dam-67|Mn|Guinea|2014-03-26</v>
      </c>
      <c r="C120" s="2" t="s">
        <v>1296</v>
      </c>
      <c r="D120" s="2" t="str">
        <f>IF(ISNUMBER(MATCH(B120,finalSelection!$A$1:$A$497,0)),"yes","no")</f>
        <v>no</v>
      </c>
      <c r="E120" s="2" t="s">
        <v>885</v>
      </c>
      <c r="F120" s="2" t="s">
        <v>359</v>
      </c>
      <c r="H120" s="2" t="s">
        <v>360</v>
      </c>
      <c r="I120" s="2" t="s">
        <v>36</v>
      </c>
      <c r="J120" s="2" t="s">
        <v>37</v>
      </c>
      <c r="K120" s="2" t="s">
        <v>38</v>
      </c>
      <c r="L120" s="2" t="s">
        <v>37</v>
      </c>
      <c r="M120" s="2" t="e">
        <f>VLOOKUP(C120,seqConcatenated!$A$1:$B$124,2, FALSE)</f>
        <v>#N/A</v>
      </c>
      <c r="N120" s="2" t="str">
        <f>IF(ISNA(Table1[[#This Row],[Column2]]),Table1[[#This Row],[comments2]], IF(O120="NA",M120,_xlfn.CONCAT(O120,"--",M120)))</f>
        <v>NA</v>
      </c>
      <c r="O120" s="2" t="s">
        <v>39</v>
      </c>
      <c r="P120" s="2" t="s">
        <v>40</v>
      </c>
      <c r="Q120" s="2" t="s">
        <v>41</v>
      </c>
      <c r="S120" s="2" t="s">
        <v>42</v>
      </c>
      <c r="T120" s="2" t="s">
        <v>43</v>
      </c>
      <c r="U120" s="2" t="s">
        <v>44</v>
      </c>
      <c r="V120" s="2" t="s">
        <v>45</v>
      </c>
      <c r="W120" s="2">
        <v>888</v>
      </c>
      <c r="X120" s="2" t="s">
        <v>46</v>
      </c>
      <c r="Y120" s="2" t="s">
        <v>47</v>
      </c>
      <c r="AA120" s="2" t="s">
        <v>48</v>
      </c>
      <c r="AB120" s="2">
        <v>1</v>
      </c>
      <c r="AC120" s="2" t="s">
        <v>293</v>
      </c>
      <c r="AD120" s="2" t="s">
        <v>50</v>
      </c>
      <c r="AE120" s="4">
        <v>9.8068329999999992</v>
      </c>
      <c r="AF120" s="4">
        <v>-10.863267</v>
      </c>
      <c r="AG120" s="2" t="s">
        <v>51</v>
      </c>
      <c r="AI120" s="2" t="s">
        <v>52</v>
      </c>
      <c r="AJ120" s="2" t="str">
        <f>IF(Table1[[#This Row],[Host]]="Mastomys natalensis", "Mn", IF(Table1[[#This Row],[Host]]="Homo Sapiens","Human","PROBLEMMEMEMMEMEMEMM"))</f>
        <v>Mn</v>
      </c>
      <c r="AK120" s="2" t="s">
        <v>53</v>
      </c>
      <c r="AL120" s="5">
        <v>41724</v>
      </c>
      <c r="AM120" s="6" t="s">
        <v>1067</v>
      </c>
      <c r="AO120" s="2" t="s">
        <v>361</v>
      </c>
    </row>
    <row r="121" spans="1:41" x14ac:dyDescent="0.3">
      <c r="A121" s="2">
        <v>51</v>
      </c>
      <c r="B121" s="2" t="str">
        <f>_xlfn.CONCAT(Table1[[#This Row],[Acession_no_.1]],"|",Table1[[#This Row],[Strain name]],"|",Table1[[#This Row],[host_simple]],"|",Table1[[#This Row],[Country]],"|",Table1[[#This Row],[date_text]])</f>
        <v>MT119510|Dam-70|Mn|Guinea|2014-03-26</v>
      </c>
      <c r="C121" s="2" t="s">
        <v>1297</v>
      </c>
      <c r="D121" s="2" t="str">
        <f>IF(ISNUMBER(MATCH(B121,finalSelection!$A$1:$A$497,0)),"yes","no")</f>
        <v>yes</v>
      </c>
      <c r="E121" s="2" t="s">
        <v>886</v>
      </c>
      <c r="F121" s="2" t="s">
        <v>362</v>
      </c>
      <c r="H121" s="2" t="s">
        <v>363</v>
      </c>
      <c r="I121" s="2" t="s">
        <v>36</v>
      </c>
      <c r="J121" s="2" t="s">
        <v>37</v>
      </c>
      <c r="K121" s="2" t="s">
        <v>38</v>
      </c>
      <c r="L121" s="2" t="s">
        <v>37</v>
      </c>
      <c r="M121" s="2" t="str">
        <f>VLOOKUP(C121,seqConcatenated!$A$1:$B$124,2, FALSE)</f>
        <v>MT119510 and MT119597 are merged</v>
      </c>
      <c r="N121" s="2" t="str">
        <f>IF(ISNA(Table1[[#This Row],[Column2]]),Table1[[#This Row],[comments2]], IF(O121="NA",M121,_xlfn.CONCAT(O121,"--",M121)))</f>
        <v>MT119510 and MT119597 are merged</v>
      </c>
      <c r="O121" s="2" t="s">
        <v>39</v>
      </c>
      <c r="P121" s="2" t="s">
        <v>40</v>
      </c>
      <c r="Q121" s="2" t="s">
        <v>41</v>
      </c>
      <c r="S121" s="2" t="s">
        <v>42</v>
      </c>
      <c r="T121" s="2" t="s">
        <v>43</v>
      </c>
      <c r="U121" s="2" t="s">
        <v>44</v>
      </c>
      <c r="V121" s="2" t="s">
        <v>45</v>
      </c>
      <c r="W121" s="2">
        <v>888</v>
      </c>
      <c r="X121" s="2" t="s">
        <v>46</v>
      </c>
      <c r="Y121" s="2" t="s">
        <v>47</v>
      </c>
      <c r="AA121" s="2" t="s">
        <v>48</v>
      </c>
      <c r="AB121" s="2">
        <v>1</v>
      </c>
      <c r="AC121" s="2" t="s">
        <v>293</v>
      </c>
      <c r="AD121" s="2" t="s">
        <v>50</v>
      </c>
      <c r="AE121" s="4">
        <v>9.8068329999999992</v>
      </c>
      <c r="AF121" s="4">
        <v>-10.863267</v>
      </c>
      <c r="AG121" s="2" t="s">
        <v>51</v>
      </c>
      <c r="AI121" s="2" t="s">
        <v>52</v>
      </c>
      <c r="AJ121" s="2" t="str">
        <f>IF(Table1[[#This Row],[Host]]="Mastomys natalensis", "Mn", IF(Table1[[#This Row],[Host]]="Homo Sapiens","Human","PROBLEMMEMEMMEMEMEMM"))</f>
        <v>Mn</v>
      </c>
      <c r="AK121" s="2" t="s">
        <v>53</v>
      </c>
      <c r="AL121" s="5">
        <v>41724</v>
      </c>
      <c r="AM121" s="6" t="s">
        <v>1067</v>
      </c>
      <c r="AO121" s="2" t="s">
        <v>364</v>
      </c>
    </row>
    <row r="122" spans="1:41" x14ac:dyDescent="0.3">
      <c r="A122" s="2">
        <v>138</v>
      </c>
      <c r="B122" s="2" t="str">
        <f>_xlfn.CONCAT(Table1[[#This Row],[Acession_no_.1]],"|",Table1[[#This Row],[Strain name]],"|",Table1[[#This Row],[host_simple]],"|",Table1[[#This Row],[Country]],"|",Table1[[#This Row],[date_text]])</f>
        <v>MT119597|Dam-70|Mn|Guinea|2014-03-26</v>
      </c>
      <c r="C122" s="2" t="s">
        <v>1297</v>
      </c>
      <c r="D122" s="2" t="str">
        <f>IF(ISNUMBER(MATCH(B122,finalSelection!$A$1:$A$497,0)),"yes","no")</f>
        <v>no</v>
      </c>
      <c r="E122" s="2" t="s">
        <v>887</v>
      </c>
      <c r="F122" s="2" t="s">
        <v>365</v>
      </c>
      <c r="H122" s="2" t="s">
        <v>363</v>
      </c>
      <c r="I122" s="2" t="s">
        <v>56</v>
      </c>
      <c r="J122" s="2" t="s">
        <v>37</v>
      </c>
      <c r="K122" s="2" t="s">
        <v>38</v>
      </c>
      <c r="L122" s="2" t="s">
        <v>37</v>
      </c>
      <c r="M122" s="2" t="str">
        <f>VLOOKUP(C122,seqConcatenated!$A$1:$B$124,2, FALSE)</f>
        <v>MT119510 and MT119597 are merged</v>
      </c>
      <c r="N122" s="2" t="str">
        <f>IF(ISNA(Table1[[#This Row],[Column2]]),Table1[[#This Row],[comments2]], IF(O122="NA",M122,_xlfn.CONCAT(O122,"--",M122)))</f>
        <v>MT119510 and MT119597 are merged</v>
      </c>
      <c r="O122" s="2" t="s">
        <v>39</v>
      </c>
      <c r="P122" s="2" t="s">
        <v>40</v>
      </c>
      <c r="Q122" s="2" t="s">
        <v>41</v>
      </c>
      <c r="S122" s="2" t="s">
        <v>42</v>
      </c>
      <c r="T122" s="2" t="s">
        <v>43</v>
      </c>
      <c r="U122" s="2" t="s">
        <v>44</v>
      </c>
      <c r="V122" s="2" t="s">
        <v>45</v>
      </c>
      <c r="W122" s="2">
        <v>711</v>
      </c>
      <c r="X122" s="2" t="s">
        <v>46</v>
      </c>
      <c r="Y122" s="2" t="s">
        <v>47</v>
      </c>
      <c r="AA122" s="2" t="s">
        <v>48</v>
      </c>
      <c r="AB122" s="2">
        <v>1</v>
      </c>
      <c r="AC122" s="2" t="s">
        <v>293</v>
      </c>
      <c r="AD122" s="2" t="s">
        <v>50</v>
      </c>
      <c r="AE122" s="4">
        <v>9.8068329999999992</v>
      </c>
      <c r="AF122" s="4">
        <v>-10.863267</v>
      </c>
      <c r="AG122" s="2" t="s">
        <v>51</v>
      </c>
      <c r="AI122" s="2" t="s">
        <v>52</v>
      </c>
      <c r="AJ122" s="2" t="str">
        <f>IF(Table1[[#This Row],[Host]]="Mastomys natalensis", "Mn", IF(Table1[[#This Row],[Host]]="Homo Sapiens","Human","PROBLEMMEMEMMEMEMEMM"))</f>
        <v>Mn</v>
      </c>
      <c r="AK122" s="2" t="s">
        <v>53</v>
      </c>
      <c r="AL122" s="5">
        <v>41724</v>
      </c>
      <c r="AM122" s="6" t="s">
        <v>1067</v>
      </c>
      <c r="AO122" s="2" t="s">
        <v>366</v>
      </c>
    </row>
    <row r="123" spans="1:41" x14ac:dyDescent="0.3">
      <c r="A123" s="2">
        <v>52</v>
      </c>
      <c r="B123" s="2" t="str">
        <f>_xlfn.CONCAT(Table1[[#This Row],[Acession_no_.1]],"|",Table1[[#This Row],[Strain name]],"|",Table1[[#This Row],[host_simple]],"|",Table1[[#This Row],[Country]],"|",Table1[[#This Row],[date_text]])</f>
        <v>MT119511|Dam-96|Mn|Guinea|2014-03-27</v>
      </c>
      <c r="C123" s="2" t="s">
        <v>1298</v>
      </c>
      <c r="D123" s="2" t="str">
        <f>IF(ISNUMBER(MATCH(B123,finalSelection!$A$1:$A$497,0)),"yes","no")</f>
        <v>no</v>
      </c>
      <c r="E123" s="2" t="s">
        <v>888</v>
      </c>
      <c r="F123" s="2" t="s">
        <v>367</v>
      </c>
      <c r="H123" s="2" t="s">
        <v>368</v>
      </c>
      <c r="I123" s="2" t="s">
        <v>36</v>
      </c>
      <c r="J123" s="2" t="s">
        <v>37</v>
      </c>
      <c r="K123" s="2" t="s">
        <v>38</v>
      </c>
      <c r="L123" s="2" t="s">
        <v>37</v>
      </c>
      <c r="M123" s="2" t="e">
        <f>VLOOKUP(C123,seqConcatenated!$A$1:$B$124,2, FALSE)</f>
        <v>#N/A</v>
      </c>
      <c r="N123" s="2" t="str">
        <f>IF(ISNA(Table1[[#This Row],[Column2]]),Table1[[#This Row],[comments2]], IF(O123="NA",M123,_xlfn.CONCAT(O123,"--",M123)))</f>
        <v>NA</v>
      </c>
      <c r="O123" s="2" t="s">
        <v>39</v>
      </c>
      <c r="P123" s="2" t="s">
        <v>40</v>
      </c>
      <c r="Q123" s="2" t="s">
        <v>41</v>
      </c>
      <c r="S123" s="2" t="s">
        <v>42</v>
      </c>
      <c r="T123" s="2" t="s">
        <v>43</v>
      </c>
      <c r="U123" s="2" t="s">
        <v>44</v>
      </c>
      <c r="V123" s="2" t="s">
        <v>45</v>
      </c>
      <c r="W123" s="2">
        <v>888</v>
      </c>
      <c r="X123" s="2" t="s">
        <v>46</v>
      </c>
      <c r="Y123" s="2" t="s">
        <v>47</v>
      </c>
      <c r="AA123" s="2" t="s">
        <v>48</v>
      </c>
      <c r="AB123" s="2">
        <v>1</v>
      </c>
      <c r="AC123" s="2" t="s">
        <v>293</v>
      </c>
      <c r="AD123" s="2" t="s">
        <v>50</v>
      </c>
      <c r="AE123" s="4">
        <v>9.8068329999999992</v>
      </c>
      <c r="AF123" s="4">
        <v>-10.863267</v>
      </c>
      <c r="AG123" s="2" t="s">
        <v>51</v>
      </c>
      <c r="AI123" s="2" t="s">
        <v>52</v>
      </c>
      <c r="AJ123" s="2" t="str">
        <f>IF(Table1[[#This Row],[Host]]="Mastomys natalensis", "Mn", IF(Table1[[#This Row],[Host]]="Homo Sapiens","Human","PROBLEMMEMEMMEMEMEMM"))</f>
        <v>Mn</v>
      </c>
      <c r="AK123" s="2" t="s">
        <v>53</v>
      </c>
      <c r="AL123" s="5">
        <v>41725</v>
      </c>
      <c r="AM123" s="6" t="s">
        <v>1068</v>
      </c>
      <c r="AO123" s="2" t="s">
        <v>369</v>
      </c>
    </row>
    <row r="124" spans="1:41" x14ac:dyDescent="0.3">
      <c r="A124" s="2">
        <v>196</v>
      </c>
      <c r="B124" s="2" t="str">
        <f>_xlfn.CONCAT(Table1[[#This Row],[Acession_no_.1]],"|",Table1[[#This Row],[Strain name]],"|",Table1[[#This Row],[host_simple]],"|",Table1[[#This Row],[Country]],"|",Table1[[#This Row],[date_text]])</f>
        <v>MN123665|Dam03|Mn|Guinea|2013-11-15</v>
      </c>
      <c r="C124" s="2" t="s">
        <v>1299</v>
      </c>
      <c r="D124" s="2" t="str">
        <f>IF(ISNUMBER(MATCH(B124,finalSelection!$A$1:$A$497,0)),"yes","no")</f>
        <v>yes</v>
      </c>
      <c r="E124" s="2" t="s">
        <v>889</v>
      </c>
      <c r="F124" s="2" t="s">
        <v>370</v>
      </c>
      <c r="H124" s="2" t="s">
        <v>371</v>
      </c>
      <c r="I124" s="2" t="s">
        <v>36</v>
      </c>
      <c r="J124" s="2" t="s">
        <v>37</v>
      </c>
      <c r="K124" s="2" t="s">
        <v>38</v>
      </c>
      <c r="L124" s="2" t="s">
        <v>37</v>
      </c>
      <c r="M124" s="2" t="str">
        <f>VLOOKUP(C124,seqConcatenated!$A$1:$B$124,2, FALSE)</f>
        <v>MN123665 and KT833182 are merged</v>
      </c>
      <c r="N124" s="2" t="str">
        <f>IF(ISNA(Table1[[#This Row],[Column2]]),Table1[[#This Row],[comments2]], IF(O124="NA",M124,_xlfn.CONCAT(O124,"--",M124)))</f>
        <v>MN123665 and KT833182 are merged</v>
      </c>
      <c r="O124" s="2" t="s">
        <v>39</v>
      </c>
      <c r="P124" s="2" t="s">
        <v>150</v>
      </c>
      <c r="Q124" s="2" t="s">
        <v>151</v>
      </c>
      <c r="S124" s="2" t="s">
        <v>42</v>
      </c>
      <c r="T124" s="2" t="s">
        <v>43</v>
      </c>
      <c r="U124" s="2" t="s">
        <v>44</v>
      </c>
      <c r="V124" s="2" t="s">
        <v>45</v>
      </c>
      <c r="W124" s="2">
        <v>888</v>
      </c>
      <c r="X124" s="2" t="s">
        <v>46</v>
      </c>
      <c r="Y124" s="2" t="s">
        <v>47</v>
      </c>
      <c r="AA124" s="2" t="s">
        <v>48</v>
      </c>
      <c r="AB124" s="2">
        <v>1</v>
      </c>
      <c r="AC124" s="2" t="s">
        <v>293</v>
      </c>
      <c r="AD124" s="2" t="s">
        <v>50</v>
      </c>
      <c r="AE124" s="4">
        <v>9.8068329999999992</v>
      </c>
      <c r="AF124" s="4">
        <v>-10.863267</v>
      </c>
      <c r="AG124" s="2" t="s">
        <v>51</v>
      </c>
      <c r="AI124" s="2" t="s">
        <v>52</v>
      </c>
      <c r="AJ124" s="2" t="str">
        <f>IF(Table1[[#This Row],[Host]]="Mastomys natalensis", "Mn", IF(Table1[[#This Row],[Host]]="Homo Sapiens","Human","PROBLEMMEMEMMEMEMEMM"))</f>
        <v>Mn</v>
      </c>
      <c r="AK124" s="2" t="s">
        <v>53</v>
      </c>
      <c r="AL124" s="5">
        <v>41593</v>
      </c>
      <c r="AM124" s="6" t="s">
        <v>1069</v>
      </c>
      <c r="AO124" s="2" t="s">
        <v>372</v>
      </c>
    </row>
    <row r="125" spans="1:41" x14ac:dyDescent="0.3">
      <c r="A125" s="2">
        <v>278</v>
      </c>
      <c r="B125" s="2" t="str">
        <f>_xlfn.CONCAT(Table1[[#This Row],[Acession_no_.1]],"|",Table1[[#This Row],[Strain name]],"|",Table1[[#This Row],[host_simple]],"|",Table1[[#This Row],[Country]],"|",Table1[[#This Row],[date_text]])</f>
        <v>KT833182|Dam03|Mn|Guinea|2013-11-15</v>
      </c>
      <c r="C125" s="2" t="s">
        <v>1299</v>
      </c>
      <c r="D125" s="2" t="str">
        <f>IF(ISNUMBER(MATCH(B125,finalSelection!$A$1:$A$497,0)),"yes","no")</f>
        <v>no</v>
      </c>
      <c r="E125" s="2" t="s">
        <v>890</v>
      </c>
      <c r="F125" s="2" t="s">
        <v>373</v>
      </c>
      <c r="H125" s="2" t="s">
        <v>371</v>
      </c>
      <c r="I125" s="2" t="s">
        <v>56</v>
      </c>
      <c r="J125" s="2" t="s">
        <v>154</v>
      </c>
      <c r="K125" s="2" t="s">
        <v>38</v>
      </c>
      <c r="L125" s="2" t="s">
        <v>37</v>
      </c>
      <c r="M125" s="2" t="str">
        <f>VLOOKUP(C125,seqConcatenated!$A$1:$B$124,2, FALSE)</f>
        <v>MN123665 and KT833182 are merged</v>
      </c>
      <c r="N125" s="2" t="str">
        <f>IF(ISNA(Table1[[#This Row],[Column2]]),Table1[[#This Row],[comments2]], IF(O125="NA",M125,_xlfn.CONCAT(O125,"--",M125)))</f>
        <v>MN123665 and KT833182 are merged</v>
      </c>
      <c r="O125" s="2" t="s">
        <v>39</v>
      </c>
      <c r="P125" s="2" t="s">
        <v>155</v>
      </c>
      <c r="Q125" s="2" t="s">
        <v>156</v>
      </c>
      <c r="S125" s="2" t="s">
        <v>42</v>
      </c>
      <c r="T125" s="2" t="s">
        <v>43</v>
      </c>
      <c r="U125" s="2" t="s">
        <v>44</v>
      </c>
      <c r="V125" s="2" t="s">
        <v>45</v>
      </c>
      <c r="W125" s="2">
        <v>754</v>
      </c>
      <c r="X125" s="2" t="s">
        <v>46</v>
      </c>
      <c r="Y125" s="2" t="s">
        <v>47</v>
      </c>
      <c r="AA125" s="2" t="s">
        <v>48</v>
      </c>
      <c r="AB125" s="2">
        <v>1</v>
      </c>
      <c r="AC125" s="2" t="s">
        <v>293</v>
      </c>
      <c r="AD125" s="2" t="s">
        <v>50</v>
      </c>
      <c r="AE125" s="4">
        <v>9.8068329999999992</v>
      </c>
      <c r="AF125" s="4">
        <v>-10.863267</v>
      </c>
      <c r="AG125" s="2" t="s">
        <v>51</v>
      </c>
      <c r="AI125" s="2" t="s">
        <v>52</v>
      </c>
      <c r="AJ125" s="2" t="str">
        <f>IF(Table1[[#This Row],[Host]]="Mastomys natalensis", "Mn", IF(Table1[[#This Row],[Host]]="Homo Sapiens","Human","PROBLEMMEMEMMEMEMEMM"))</f>
        <v>Mn</v>
      </c>
      <c r="AK125" s="2" t="s">
        <v>53</v>
      </c>
      <c r="AL125" s="5">
        <v>41593</v>
      </c>
      <c r="AM125" s="6" t="s">
        <v>1069</v>
      </c>
      <c r="AO125" s="2" t="s">
        <v>374</v>
      </c>
    </row>
    <row r="126" spans="1:41" x14ac:dyDescent="0.3">
      <c r="A126" s="2">
        <v>197</v>
      </c>
      <c r="B126" s="2" t="str">
        <f>_xlfn.CONCAT(Table1[[#This Row],[Acession_no_.1]],"|",Table1[[#This Row],[Strain name]],"|",Table1[[#This Row],[host_simple]],"|",Table1[[#This Row],[Country]],"|",Table1[[#This Row],[date_text]])</f>
        <v>MN123666|Dam05|Mn|Guinea|2013-11-15</v>
      </c>
      <c r="C126" s="2" t="s">
        <v>1300</v>
      </c>
      <c r="D126" s="2" t="str">
        <f>IF(ISNUMBER(MATCH(B126,finalSelection!$A$1:$A$497,0)),"yes","no")</f>
        <v>yes</v>
      </c>
      <c r="E126" s="2" t="s">
        <v>891</v>
      </c>
      <c r="F126" s="2" t="s">
        <v>375</v>
      </c>
      <c r="H126" s="2" t="s">
        <v>376</v>
      </c>
      <c r="I126" s="2" t="s">
        <v>36</v>
      </c>
      <c r="J126" s="2" t="s">
        <v>37</v>
      </c>
      <c r="K126" s="2" t="s">
        <v>38</v>
      </c>
      <c r="L126" s="2" t="s">
        <v>37</v>
      </c>
      <c r="M126" s="2" t="str">
        <f>VLOOKUP(C126,seqConcatenated!$A$1:$B$124,2, FALSE)</f>
        <v>MN123666 and KT833183 are merged</v>
      </c>
      <c r="N126" s="2" t="str">
        <f>IF(ISNA(Table1[[#This Row],[Column2]]),Table1[[#This Row],[comments2]], IF(O126="NA",M126,_xlfn.CONCAT(O126,"--",M126)))</f>
        <v>MN123666 and KT833183 are merged</v>
      </c>
      <c r="O126" s="2" t="s">
        <v>39</v>
      </c>
      <c r="P126" s="2" t="s">
        <v>150</v>
      </c>
      <c r="Q126" s="2" t="s">
        <v>151</v>
      </c>
      <c r="S126" s="2" t="s">
        <v>42</v>
      </c>
      <c r="T126" s="2" t="s">
        <v>43</v>
      </c>
      <c r="U126" s="2" t="s">
        <v>44</v>
      </c>
      <c r="V126" s="2" t="s">
        <v>45</v>
      </c>
      <c r="W126" s="2">
        <v>888</v>
      </c>
      <c r="X126" s="2" t="s">
        <v>46</v>
      </c>
      <c r="Y126" s="2" t="s">
        <v>47</v>
      </c>
      <c r="AA126" s="2" t="s">
        <v>48</v>
      </c>
      <c r="AB126" s="2">
        <v>1</v>
      </c>
      <c r="AC126" s="2" t="s">
        <v>293</v>
      </c>
      <c r="AD126" s="2" t="s">
        <v>50</v>
      </c>
      <c r="AE126" s="4">
        <v>9.8068329999999992</v>
      </c>
      <c r="AF126" s="4">
        <v>-10.863267</v>
      </c>
      <c r="AG126" s="2" t="s">
        <v>51</v>
      </c>
      <c r="AI126" s="2" t="s">
        <v>52</v>
      </c>
      <c r="AJ126" s="2" t="str">
        <f>IF(Table1[[#This Row],[Host]]="Mastomys natalensis", "Mn", IF(Table1[[#This Row],[Host]]="Homo Sapiens","Human","PROBLEMMEMEMMEMEMEMM"))</f>
        <v>Mn</v>
      </c>
      <c r="AK126" s="2" t="s">
        <v>53</v>
      </c>
      <c r="AL126" s="5">
        <v>41593</v>
      </c>
      <c r="AM126" s="6" t="s">
        <v>1069</v>
      </c>
      <c r="AO126" s="2" t="s">
        <v>377</v>
      </c>
    </row>
    <row r="127" spans="1:41" x14ac:dyDescent="0.3">
      <c r="A127" s="2">
        <v>279</v>
      </c>
      <c r="B127" s="2" t="str">
        <f>_xlfn.CONCAT(Table1[[#This Row],[Acession_no_.1]],"|",Table1[[#This Row],[Strain name]],"|",Table1[[#This Row],[host_simple]],"|",Table1[[#This Row],[Country]],"|",Table1[[#This Row],[date_text]])</f>
        <v>KT833183|Dam05|Mn|Guinea|2013-11-15</v>
      </c>
      <c r="C127" s="2" t="s">
        <v>1300</v>
      </c>
      <c r="D127" s="2" t="str">
        <f>IF(ISNUMBER(MATCH(B127,finalSelection!$A$1:$A$497,0)),"yes","no")</f>
        <v>no</v>
      </c>
      <c r="E127" s="2" t="s">
        <v>892</v>
      </c>
      <c r="F127" s="2" t="s">
        <v>378</v>
      </c>
      <c r="H127" s="2" t="s">
        <v>376</v>
      </c>
      <c r="I127" s="2" t="s">
        <v>56</v>
      </c>
      <c r="J127" s="2" t="s">
        <v>154</v>
      </c>
      <c r="K127" s="2" t="s">
        <v>38</v>
      </c>
      <c r="L127" s="2" t="s">
        <v>37</v>
      </c>
      <c r="M127" s="2" t="str">
        <f>VLOOKUP(C127,seqConcatenated!$A$1:$B$124,2, FALSE)</f>
        <v>MN123666 and KT833183 are merged</v>
      </c>
      <c r="N127" s="2" t="str">
        <f>IF(ISNA(Table1[[#This Row],[Column2]]),Table1[[#This Row],[comments2]], IF(O127="NA",M127,_xlfn.CONCAT(O127,"--",M127)))</f>
        <v>MN123666 and KT833183 are merged</v>
      </c>
      <c r="O127" s="2" t="s">
        <v>39</v>
      </c>
      <c r="P127" s="2" t="s">
        <v>155</v>
      </c>
      <c r="Q127" s="2" t="s">
        <v>156</v>
      </c>
      <c r="S127" s="2" t="s">
        <v>42</v>
      </c>
      <c r="T127" s="2" t="s">
        <v>43</v>
      </c>
      <c r="U127" s="2" t="s">
        <v>44</v>
      </c>
      <c r="V127" s="2" t="s">
        <v>45</v>
      </c>
      <c r="W127" s="2">
        <v>754</v>
      </c>
      <c r="X127" s="2" t="s">
        <v>46</v>
      </c>
      <c r="Y127" s="2" t="s">
        <v>47</v>
      </c>
      <c r="AA127" s="2" t="s">
        <v>48</v>
      </c>
      <c r="AB127" s="2">
        <v>1</v>
      </c>
      <c r="AC127" s="2" t="s">
        <v>293</v>
      </c>
      <c r="AD127" s="2" t="s">
        <v>50</v>
      </c>
      <c r="AE127" s="4">
        <v>9.8068329999999992</v>
      </c>
      <c r="AF127" s="4">
        <v>-10.863267</v>
      </c>
      <c r="AG127" s="2" t="s">
        <v>51</v>
      </c>
      <c r="AI127" s="2" t="s">
        <v>52</v>
      </c>
      <c r="AJ127" s="2" t="str">
        <f>IF(Table1[[#This Row],[Host]]="Mastomys natalensis", "Mn", IF(Table1[[#This Row],[Host]]="Homo Sapiens","Human","PROBLEMMEMEMMEMEMEMM"))</f>
        <v>Mn</v>
      </c>
      <c r="AK127" s="2" t="s">
        <v>53</v>
      </c>
      <c r="AL127" s="5">
        <v>41593</v>
      </c>
      <c r="AM127" s="6" t="s">
        <v>1069</v>
      </c>
      <c r="AO127" s="2" t="s">
        <v>379</v>
      </c>
    </row>
    <row r="128" spans="1:41" x14ac:dyDescent="0.3">
      <c r="A128" s="2">
        <v>198</v>
      </c>
      <c r="B128" s="2" t="str">
        <f>_xlfn.CONCAT(Table1[[#This Row],[Acession_no_.1]],"|",Table1[[#This Row],[Strain name]],"|",Table1[[#This Row],[host_simple]],"|",Table1[[#This Row],[Country]],"|",Table1[[#This Row],[date_text]])</f>
        <v>MN123667|Dam15|Mn|Guinea|2013-11-15</v>
      </c>
      <c r="C128" s="2" t="s">
        <v>1301</v>
      </c>
      <c r="D128" s="2" t="str">
        <f>IF(ISNUMBER(MATCH(B128,finalSelection!$A$1:$A$497,0)),"yes","no")</f>
        <v>yes</v>
      </c>
      <c r="E128" s="2" t="s">
        <v>893</v>
      </c>
      <c r="F128" s="2" t="s">
        <v>380</v>
      </c>
      <c r="H128" s="2" t="s">
        <v>381</v>
      </c>
      <c r="I128" s="2" t="s">
        <v>36</v>
      </c>
      <c r="J128" s="2" t="s">
        <v>37</v>
      </c>
      <c r="K128" s="2" t="s">
        <v>38</v>
      </c>
      <c r="L128" s="2" t="s">
        <v>37</v>
      </c>
      <c r="M128" s="2" t="str">
        <f>VLOOKUP(C128,seqConcatenated!$A$1:$B$124,2, FALSE)</f>
        <v>MN123667 and KT833184 are merged</v>
      </c>
      <c r="N128" s="2" t="str">
        <f>IF(ISNA(Table1[[#This Row],[Column2]]),Table1[[#This Row],[comments2]], IF(O128="NA",M128,_xlfn.CONCAT(O128,"--",M128)))</f>
        <v>MN123667 and KT833184 are merged</v>
      </c>
      <c r="O128" s="2" t="s">
        <v>39</v>
      </c>
      <c r="P128" s="2" t="s">
        <v>150</v>
      </c>
      <c r="Q128" s="2" t="s">
        <v>151</v>
      </c>
      <c r="S128" s="2" t="s">
        <v>42</v>
      </c>
      <c r="T128" s="2" t="s">
        <v>43</v>
      </c>
      <c r="U128" s="2" t="s">
        <v>44</v>
      </c>
      <c r="V128" s="2" t="s">
        <v>45</v>
      </c>
      <c r="W128" s="2">
        <v>888</v>
      </c>
      <c r="X128" s="2" t="s">
        <v>46</v>
      </c>
      <c r="Y128" s="2" t="s">
        <v>47</v>
      </c>
      <c r="AA128" s="2" t="s">
        <v>48</v>
      </c>
      <c r="AB128" s="2">
        <v>1</v>
      </c>
      <c r="AC128" s="2" t="s">
        <v>293</v>
      </c>
      <c r="AD128" s="2" t="s">
        <v>50</v>
      </c>
      <c r="AE128" s="4">
        <v>9.8068329999999992</v>
      </c>
      <c r="AF128" s="4">
        <v>-10.863267</v>
      </c>
      <c r="AG128" s="2" t="s">
        <v>51</v>
      </c>
      <c r="AI128" s="2" t="s">
        <v>52</v>
      </c>
      <c r="AJ128" s="2" t="str">
        <f>IF(Table1[[#This Row],[Host]]="Mastomys natalensis", "Mn", IF(Table1[[#This Row],[Host]]="Homo Sapiens","Human","PROBLEMMEMEMMEMEMEMM"))</f>
        <v>Mn</v>
      </c>
      <c r="AK128" s="2" t="s">
        <v>53</v>
      </c>
      <c r="AL128" s="5">
        <v>41593</v>
      </c>
      <c r="AM128" s="6" t="s">
        <v>1069</v>
      </c>
      <c r="AO128" s="2" t="s">
        <v>382</v>
      </c>
    </row>
    <row r="129" spans="1:41" x14ac:dyDescent="0.3">
      <c r="A129" s="2">
        <v>280</v>
      </c>
      <c r="B129" s="2" t="str">
        <f>_xlfn.CONCAT(Table1[[#This Row],[Acession_no_.1]],"|",Table1[[#This Row],[Strain name]],"|",Table1[[#This Row],[host_simple]],"|",Table1[[#This Row],[Country]],"|",Table1[[#This Row],[date_text]])</f>
        <v>KT833184|Dam15|Mn|Guinea|2013-11-15</v>
      </c>
      <c r="C129" s="2" t="s">
        <v>1301</v>
      </c>
      <c r="D129" s="2" t="str">
        <f>IF(ISNUMBER(MATCH(B129,finalSelection!$A$1:$A$497,0)),"yes","no")</f>
        <v>no</v>
      </c>
      <c r="E129" s="2" t="s">
        <v>894</v>
      </c>
      <c r="F129" s="2" t="s">
        <v>383</v>
      </c>
      <c r="H129" s="2" t="s">
        <v>381</v>
      </c>
      <c r="I129" s="2" t="s">
        <v>56</v>
      </c>
      <c r="J129" s="2" t="s">
        <v>154</v>
      </c>
      <c r="K129" s="2" t="s">
        <v>38</v>
      </c>
      <c r="L129" s="2" t="s">
        <v>37</v>
      </c>
      <c r="M129" s="2" t="str">
        <f>VLOOKUP(C129,seqConcatenated!$A$1:$B$124,2, FALSE)</f>
        <v>MN123667 and KT833184 are merged</v>
      </c>
      <c r="N129" s="2" t="str">
        <f>IF(ISNA(Table1[[#This Row],[Column2]]),Table1[[#This Row],[comments2]], IF(O129="NA",M129,_xlfn.CONCAT(O129,"--",M129)))</f>
        <v>MN123667 and KT833184 are merged</v>
      </c>
      <c r="O129" s="2" t="s">
        <v>39</v>
      </c>
      <c r="P129" s="2" t="s">
        <v>155</v>
      </c>
      <c r="Q129" s="2" t="s">
        <v>156</v>
      </c>
      <c r="S129" s="2" t="s">
        <v>42</v>
      </c>
      <c r="T129" s="2" t="s">
        <v>43</v>
      </c>
      <c r="U129" s="2" t="s">
        <v>44</v>
      </c>
      <c r="V129" s="2" t="s">
        <v>45</v>
      </c>
      <c r="W129" s="2">
        <v>754</v>
      </c>
      <c r="X129" s="2" t="s">
        <v>46</v>
      </c>
      <c r="Y129" s="2" t="s">
        <v>47</v>
      </c>
      <c r="AA129" s="2" t="s">
        <v>48</v>
      </c>
      <c r="AB129" s="2">
        <v>1</v>
      </c>
      <c r="AC129" s="2" t="s">
        <v>293</v>
      </c>
      <c r="AD129" s="2" t="s">
        <v>50</v>
      </c>
      <c r="AE129" s="4">
        <v>9.8068329999999992</v>
      </c>
      <c r="AF129" s="4">
        <v>-10.863267</v>
      </c>
      <c r="AG129" s="2" t="s">
        <v>51</v>
      </c>
      <c r="AI129" s="2" t="s">
        <v>52</v>
      </c>
      <c r="AJ129" s="2" t="str">
        <f>IF(Table1[[#This Row],[Host]]="Mastomys natalensis", "Mn", IF(Table1[[#This Row],[Host]]="Homo Sapiens","Human","PROBLEMMEMEMMEMEMEMM"))</f>
        <v>Mn</v>
      </c>
      <c r="AK129" s="2" t="s">
        <v>53</v>
      </c>
      <c r="AL129" s="5">
        <v>41593</v>
      </c>
      <c r="AM129" s="6" t="s">
        <v>1069</v>
      </c>
      <c r="AO129" s="2" t="s">
        <v>384</v>
      </c>
    </row>
    <row r="130" spans="1:41" x14ac:dyDescent="0.3">
      <c r="A130" s="2">
        <v>199</v>
      </c>
      <c r="B130" s="2" t="str">
        <f>_xlfn.CONCAT(Table1[[#This Row],[Acession_no_.1]],"|",Table1[[#This Row],[Strain name]],"|",Table1[[#This Row],[host_simple]],"|",Table1[[#This Row],[Country]],"|",Table1[[#This Row],[date_text]])</f>
        <v>MN123668|Dam20|Mn|Guinea|2013-11-16</v>
      </c>
      <c r="C130" s="2" t="s">
        <v>1302</v>
      </c>
      <c r="D130" s="2" t="str">
        <f>IF(ISNUMBER(MATCH(B130,finalSelection!$A$1:$A$497,0)),"yes","no")</f>
        <v>yes</v>
      </c>
      <c r="E130" s="2" t="s">
        <v>895</v>
      </c>
      <c r="F130" s="2" t="s">
        <v>385</v>
      </c>
      <c r="H130" s="2" t="s">
        <v>386</v>
      </c>
      <c r="I130" s="2" t="s">
        <v>36</v>
      </c>
      <c r="J130" s="2" t="s">
        <v>37</v>
      </c>
      <c r="K130" s="2" t="s">
        <v>38</v>
      </c>
      <c r="L130" s="2" t="s">
        <v>37</v>
      </c>
      <c r="M130" s="2" t="str">
        <f>VLOOKUP(C130,seqConcatenated!$A$1:$B$124,2, FALSE)</f>
        <v>MN123668 and KT833185 are merged</v>
      </c>
      <c r="N130" s="2" t="str">
        <f>IF(ISNA(Table1[[#This Row],[Column2]]),Table1[[#This Row],[comments2]], IF(O130="NA",M130,_xlfn.CONCAT(O130,"--",M130)))</f>
        <v>MN123668 and KT833185 are merged</v>
      </c>
      <c r="O130" s="2" t="s">
        <v>39</v>
      </c>
      <c r="P130" s="2" t="s">
        <v>150</v>
      </c>
      <c r="Q130" s="2" t="s">
        <v>151</v>
      </c>
      <c r="S130" s="2" t="s">
        <v>42</v>
      </c>
      <c r="T130" s="2" t="s">
        <v>43</v>
      </c>
      <c r="U130" s="2" t="s">
        <v>44</v>
      </c>
      <c r="V130" s="2" t="s">
        <v>45</v>
      </c>
      <c r="W130" s="2">
        <v>888</v>
      </c>
      <c r="X130" s="2" t="s">
        <v>46</v>
      </c>
      <c r="Y130" s="2" t="s">
        <v>47</v>
      </c>
      <c r="AA130" s="2" t="s">
        <v>48</v>
      </c>
      <c r="AB130" s="2">
        <v>1</v>
      </c>
      <c r="AC130" s="2" t="s">
        <v>293</v>
      </c>
      <c r="AD130" s="2" t="s">
        <v>50</v>
      </c>
      <c r="AE130" s="4">
        <v>9.8068329999999992</v>
      </c>
      <c r="AF130" s="4">
        <v>-10.863267</v>
      </c>
      <c r="AG130" s="2" t="s">
        <v>51</v>
      </c>
      <c r="AI130" s="2" t="s">
        <v>52</v>
      </c>
      <c r="AJ130" s="2" t="str">
        <f>IF(Table1[[#This Row],[Host]]="Mastomys natalensis", "Mn", IF(Table1[[#This Row],[Host]]="Homo Sapiens","Human","PROBLEMMEMEMMEMEMEMM"))</f>
        <v>Mn</v>
      </c>
      <c r="AK130" s="2" t="s">
        <v>53</v>
      </c>
      <c r="AL130" s="5">
        <v>41594</v>
      </c>
      <c r="AM130" s="6" t="s">
        <v>1065</v>
      </c>
      <c r="AO130" s="2" t="s">
        <v>387</v>
      </c>
    </row>
    <row r="131" spans="1:41" x14ac:dyDescent="0.3">
      <c r="A131" s="2">
        <v>281</v>
      </c>
      <c r="B131" s="2" t="str">
        <f>_xlfn.CONCAT(Table1[[#This Row],[Acession_no_.1]],"|",Table1[[#This Row],[Strain name]],"|",Table1[[#This Row],[host_simple]],"|",Table1[[#This Row],[Country]],"|",Table1[[#This Row],[date_text]])</f>
        <v>KT833185|Dam20|Mn|Guinea|2013-11-16</v>
      </c>
      <c r="C131" s="2" t="s">
        <v>1302</v>
      </c>
      <c r="D131" s="2" t="str">
        <f>IF(ISNUMBER(MATCH(B131,finalSelection!$A$1:$A$497,0)),"yes","no")</f>
        <v>no</v>
      </c>
      <c r="E131" s="2" t="s">
        <v>896</v>
      </c>
      <c r="F131" s="2" t="s">
        <v>388</v>
      </c>
      <c r="H131" s="2" t="s">
        <v>386</v>
      </c>
      <c r="I131" s="2" t="s">
        <v>56</v>
      </c>
      <c r="J131" s="2" t="s">
        <v>279</v>
      </c>
      <c r="K131" s="2" t="s">
        <v>38</v>
      </c>
      <c r="L131" s="2" t="s">
        <v>37</v>
      </c>
      <c r="M131" s="2" t="str">
        <f>VLOOKUP(C131,seqConcatenated!$A$1:$B$124,2, FALSE)</f>
        <v>MN123668 and KT833185 are merged</v>
      </c>
      <c r="N131" s="2" t="str">
        <f>IF(ISNA(Table1[[#This Row],[Column2]]),Table1[[#This Row],[comments2]], IF(O131="NA",M131,_xlfn.CONCAT(O131,"--",M131)))</f>
        <v>MN123668 and KT833185 are merged</v>
      </c>
      <c r="O131" s="2" t="s">
        <v>39</v>
      </c>
      <c r="P131" s="2" t="s">
        <v>155</v>
      </c>
      <c r="Q131" s="2" t="s">
        <v>156</v>
      </c>
      <c r="S131" s="2" t="s">
        <v>42</v>
      </c>
      <c r="T131" s="2" t="s">
        <v>43</v>
      </c>
      <c r="U131" s="2" t="s">
        <v>44</v>
      </c>
      <c r="V131" s="2" t="s">
        <v>45</v>
      </c>
      <c r="W131" s="2">
        <v>754</v>
      </c>
      <c r="X131" s="2" t="s">
        <v>46</v>
      </c>
      <c r="Y131" s="2" t="s">
        <v>47</v>
      </c>
      <c r="AA131" s="2" t="s">
        <v>48</v>
      </c>
      <c r="AB131" s="2">
        <v>1</v>
      </c>
      <c r="AC131" s="2" t="s">
        <v>293</v>
      </c>
      <c r="AD131" s="2" t="s">
        <v>50</v>
      </c>
      <c r="AE131" s="4">
        <v>9.8068329999999992</v>
      </c>
      <c r="AF131" s="4">
        <v>-10.863267</v>
      </c>
      <c r="AG131" s="2" t="s">
        <v>51</v>
      </c>
      <c r="AI131" s="2" t="s">
        <v>52</v>
      </c>
      <c r="AJ131" s="2" t="str">
        <f>IF(Table1[[#This Row],[Host]]="Mastomys natalensis", "Mn", IF(Table1[[#This Row],[Host]]="Homo Sapiens","Human","PROBLEMMEMEMMEMEMEMM"))</f>
        <v>Mn</v>
      </c>
      <c r="AK131" s="2" t="s">
        <v>53</v>
      </c>
      <c r="AL131" s="5">
        <v>41594</v>
      </c>
      <c r="AM131" s="6" t="s">
        <v>1065</v>
      </c>
      <c r="AO131" s="2" t="s">
        <v>389</v>
      </c>
    </row>
    <row r="132" spans="1:41" x14ac:dyDescent="0.3">
      <c r="A132" s="2">
        <v>200</v>
      </c>
      <c r="B132" s="2" t="str">
        <f>_xlfn.CONCAT(Table1[[#This Row],[Acession_no_.1]],"|",Table1[[#This Row],[Strain name]],"|",Table1[[#This Row],[host_simple]],"|",Table1[[#This Row],[Country]],"|",Table1[[#This Row],[date_text]])</f>
        <v>MN123669|Dam38|Mn|Guinea|2013-11-16</v>
      </c>
      <c r="C132" s="2" t="s">
        <v>1303</v>
      </c>
      <c r="D132" s="2" t="str">
        <f>IF(ISNUMBER(MATCH(B132,finalSelection!$A$1:$A$497,0)),"yes","no")</f>
        <v>yes</v>
      </c>
      <c r="E132" s="2" t="s">
        <v>897</v>
      </c>
      <c r="F132" s="2" t="s">
        <v>390</v>
      </c>
      <c r="H132" s="2" t="s">
        <v>391</v>
      </c>
      <c r="I132" s="2" t="s">
        <v>36</v>
      </c>
      <c r="J132" s="2" t="s">
        <v>37</v>
      </c>
      <c r="K132" s="2" t="s">
        <v>38</v>
      </c>
      <c r="L132" s="2" t="s">
        <v>37</v>
      </c>
      <c r="M132" s="2" t="str">
        <f>VLOOKUP(C132,seqConcatenated!$A$1:$B$124,2, FALSE)</f>
        <v>MN123669 and KT833186 are merged</v>
      </c>
      <c r="N132" s="2" t="str">
        <f>IF(ISNA(Table1[[#This Row],[Column2]]),Table1[[#This Row],[comments2]], IF(O132="NA",M132,_xlfn.CONCAT(O132,"--",M132)))</f>
        <v>MN123669 and KT833186 are merged</v>
      </c>
      <c r="O132" s="2" t="s">
        <v>39</v>
      </c>
      <c r="P132" s="2" t="s">
        <v>150</v>
      </c>
      <c r="Q132" s="2" t="s">
        <v>151</v>
      </c>
      <c r="S132" s="2" t="s">
        <v>42</v>
      </c>
      <c r="T132" s="2" t="s">
        <v>43</v>
      </c>
      <c r="U132" s="2" t="s">
        <v>44</v>
      </c>
      <c r="V132" s="2" t="s">
        <v>45</v>
      </c>
      <c r="W132" s="2">
        <v>888</v>
      </c>
      <c r="X132" s="2" t="s">
        <v>46</v>
      </c>
      <c r="Y132" s="2" t="s">
        <v>47</v>
      </c>
      <c r="AA132" s="2" t="s">
        <v>48</v>
      </c>
      <c r="AB132" s="2">
        <v>1</v>
      </c>
      <c r="AC132" s="2" t="s">
        <v>293</v>
      </c>
      <c r="AD132" s="2" t="s">
        <v>50</v>
      </c>
      <c r="AE132" s="4">
        <v>9.8068329999999992</v>
      </c>
      <c r="AF132" s="4">
        <v>-10.863267</v>
      </c>
      <c r="AG132" s="2" t="s">
        <v>51</v>
      </c>
      <c r="AI132" s="2" t="s">
        <v>52</v>
      </c>
      <c r="AJ132" s="2" t="str">
        <f>IF(Table1[[#This Row],[Host]]="Mastomys natalensis", "Mn", IF(Table1[[#This Row],[Host]]="Homo Sapiens","Human","PROBLEMMEMEMMEMEMEMM"))</f>
        <v>Mn</v>
      </c>
      <c r="AK132" s="2" t="s">
        <v>53</v>
      </c>
      <c r="AL132" s="5">
        <v>41594</v>
      </c>
      <c r="AM132" s="6" t="s">
        <v>1065</v>
      </c>
      <c r="AO132" s="2" t="s">
        <v>392</v>
      </c>
    </row>
    <row r="133" spans="1:41" x14ac:dyDescent="0.3">
      <c r="A133" s="2">
        <v>282</v>
      </c>
      <c r="B133" s="2" t="str">
        <f>_xlfn.CONCAT(Table1[[#This Row],[Acession_no_.1]],"|",Table1[[#This Row],[Strain name]],"|",Table1[[#This Row],[host_simple]],"|",Table1[[#This Row],[Country]],"|",Table1[[#This Row],[date_text]])</f>
        <v>KT833186|Dam38|Mn|Guinea|2013-11-16</v>
      </c>
      <c r="C133" s="2" t="s">
        <v>1303</v>
      </c>
      <c r="D133" s="2" t="str">
        <f>IF(ISNUMBER(MATCH(B133,finalSelection!$A$1:$A$497,0)),"yes","no")</f>
        <v>no</v>
      </c>
      <c r="E133" s="2" t="s">
        <v>898</v>
      </c>
      <c r="F133" s="2" t="s">
        <v>393</v>
      </c>
      <c r="H133" s="2" t="s">
        <v>391</v>
      </c>
      <c r="I133" s="2" t="s">
        <v>56</v>
      </c>
      <c r="J133" s="2" t="s">
        <v>154</v>
      </c>
      <c r="K133" s="2" t="s">
        <v>38</v>
      </c>
      <c r="L133" s="2" t="s">
        <v>37</v>
      </c>
      <c r="M133" s="2" t="str">
        <f>VLOOKUP(C133,seqConcatenated!$A$1:$B$124,2, FALSE)</f>
        <v>MN123669 and KT833186 are merged</v>
      </c>
      <c r="N133" s="2" t="str">
        <f>IF(ISNA(Table1[[#This Row],[Column2]]),Table1[[#This Row],[comments2]], IF(O133="NA",M133,_xlfn.CONCAT(O133,"--",M133)))</f>
        <v>MN123669 and KT833186 are merged</v>
      </c>
      <c r="O133" s="2" t="s">
        <v>39</v>
      </c>
      <c r="P133" s="2" t="s">
        <v>155</v>
      </c>
      <c r="Q133" s="2" t="s">
        <v>156</v>
      </c>
      <c r="S133" s="2" t="s">
        <v>42</v>
      </c>
      <c r="T133" s="2" t="s">
        <v>43</v>
      </c>
      <c r="U133" s="2" t="s">
        <v>44</v>
      </c>
      <c r="V133" s="2" t="s">
        <v>45</v>
      </c>
      <c r="W133" s="2">
        <v>754</v>
      </c>
      <c r="X133" s="2" t="s">
        <v>46</v>
      </c>
      <c r="Y133" s="2" t="s">
        <v>47</v>
      </c>
      <c r="AA133" s="2" t="s">
        <v>48</v>
      </c>
      <c r="AB133" s="2">
        <v>1</v>
      </c>
      <c r="AC133" s="2" t="s">
        <v>293</v>
      </c>
      <c r="AD133" s="2" t="s">
        <v>50</v>
      </c>
      <c r="AE133" s="4">
        <v>9.8068329999999992</v>
      </c>
      <c r="AF133" s="4">
        <v>-10.863267</v>
      </c>
      <c r="AG133" s="2" t="s">
        <v>51</v>
      </c>
      <c r="AI133" s="2" t="s">
        <v>52</v>
      </c>
      <c r="AJ133" s="2" t="str">
        <f>IF(Table1[[#This Row],[Host]]="Mastomys natalensis", "Mn", IF(Table1[[#This Row],[Host]]="Homo Sapiens","Human","PROBLEMMEMEMMEMEMEMM"))</f>
        <v>Mn</v>
      </c>
      <c r="AK133" s="2" t="s">
        <v>53</v>
      </c>
      <c r="AL133" s="5">
        <v>41594</v>
      </c>
      <c r="AM133" s="6" t="s">
        <v>1065</v>
      </c>
      <c r="AO133" s="2" t="s">
        <v>394</v>
      </c>
    </row>
    <row r="134" spans="1:41" x14ac:dyDescent="0.3">
      <c r="A134" s="2">
        <v>201</v>
      </c>
      <c r="B134" s="2" t="str">
        <f>_xlfn.CONCAT(Table1[[#This Row],[Acession_no_.1]],"|",Table1[[#This Row],[Strain name]],"|",Table1[[#This Row],[host_simple]],"|",Table1[[#This Row],[Country]],"|",Table1[[#This Row],[date_text]])</f>
        <v>MN123670|Dam49|Mn|Guinea|2013-11-17</v>
      </c>
      <c r="C134" s="2" t="s">
        <v>1304</v>
      </c>
      <c r="D134" s="2" t="str">
        <f>IF(ISNUMBER(MATCH(B134,finalSelection!$A$1:$A$497,0)),"yes","no")</f>
        <v>yes</v>
      </c>
      <c r="E134" s="2" t="s">
        <v>899</v>
      </c>
      <c r="F134" s="2" t="s">
        <v>395</v>
      </c>
      <c r="H134" s="2" t="s">
        <v>396</v>
      </c>
      <c r="I134" s="2" t="s">
        <v>36</v>
      </c>
      <c r="J134" s="2" t="s">
        <v>37</v>
      </c>
      <c r="K134" s="2" t="s">
        <v>38</v>
      </c>
      <c r="L134" s="2" t="s">
        <v>37</v>
      </c>
      <c r="M134" s="2" t="str">
        <f>VLOOKUP(C134,seqConcatenated!$A$1:$B$124,2, FALSE)</f>
        <v>MN123670 and KT833187 are merged</v>
      </c>
      <c r="N134" s="2" t="str">
        <f>IF(ISNA(Table1[[#This Row],[Column2]]),Table1[[#This Row],[comments2]], IF(O134="NA",M134,_xlfn.CONCAT(O134,"--",M134)))</f>
        <v>MN123670 and KT833187 are merged</v>
      </c>
      <c r="O134" s="2" t="s">
        <v>39</v>
      </c>
      <c r="P134" s="2" t="s">
        <v>150</v>
      </c>
      <c r="Q134" s="2" t="s">
        <v>151</v>
      </c>
      <c r="S134" s="2" t="s">
        <v>42</v>
      </c>
      <c r="T134" s="2" t="s">
        <v>43</v>
      </c>
      <c r="U134" s="2" t="s">
        <v>44</v>
      </c>
      <c r="V134" s="2" t="s">
        <v>45</v>
      </c>
      <c r="W134" s="2">
        <v>888</v>
      </c>
      <c r="X134" s="2" t="s">
        <v>46</v>
      </c>
      <c r="Y134" s="2" t="s">
        <v>47</v>
      </c>
      <c r="AA134" s="2" t="s">
        <v>48</v>
      </c>
      <c r="AB134" s="2">
        <v>1</v>
      </c>
      <c r="AC134" s="2" t="s">
        <v>293</v>
      </c>
      <c r="AD134" s="2" t="s">
        <v>50</v>
      </c>
      <c r="AE134" s="4">
        <v>9.8068329999999992</v>
      </c>
      <c r="AF134" s="4">
        <v>-10.863267</v>
      </c>
      <c r="AG134" s="2" t="s">
        <v>51</v>
      </c>
      <c r="AI134" s="2" t="s">
        <v>52</v>
      </c>
      <c r="AJ134" s="2" t="str">
        <f>IF(Table1[[#This Row],[Host]]="Mastomys natalensis", "Mn", IF(Table1[[#This Row],[Host]]="Homo Sapiens","Human","PROBLEMMEMEMMEMEMEMM"))</f>
        <v>Mn</v>
      </c>
      <c r="AK134" s="2" t="s">
        <v>53</v>
      </c>
      <c r="AL134" s="5">
        <v>41595</v>
      </c>
      <c r="AM134" s="6" t="s">
        <v>1070</v>
      </c>
      <c r="AO134" s="2" t="s">
        <v>397</v>
      </c>
    </row>
    <row r="135" spans="1:41" x14ac:dyDescent="0.3">
      <c r="A135" s="2">
        <v>283</v>
      </c>
      <c r="B135" s="2" t="str">
        <f>_xlfn.CONCAT(Table1[[#This Row],[Acession_no_.1]],"|",Table1[[#This Row],[Strain name]],"|",Table1[[#This Row],[host_simple]],"|",Table1[[#This Row],[Country]],"|",Table1[[#This Row],[date_text]])</f>
        <v>KT833187|Dam49|Mn|Guinea|2013-11-17</v>
      </c>
      <c r="C135" s="2" t="s">
        <v>1304</v>
      </c>
      <c r="D135" s="2" t="str">
        <f>IF(ISNUMBER(MATCH(B135,finalSelection!$A$1:$A$497,0)),"yes","no")</f>
        <v>no</v>
      </c>
      <c r="E135" s="2" t="s">
        <v>900</v>
      </c>
      <c r="F135" s="2" t="s">
        <v>398</v>
      </c>
      <c r="H135" s="2" t="s">
        <v>396</v>
      </c>
      <c r="I135" s="2" t="s">
        <v>56</v>
      </c>
      <c r="J135" s="2" t="s">
        <v>154</v>
      </c>
      <c r="K135" s="2" t="s">
        <v>38</v>
      </c>
      <c r="L135" s="2" t="s">
        <v>37</v>
      </c>
      <c r="M135" s="2" t="str">
        <f>VLOOKUP(C135,seqConcatenated!$A$1:$B$124,2, FALSE)</f>
        <v>MN123670 and KT833187 are merged</v>
      </c>
      <c r="N135" s="2" t="str">
        <f>IF(ISNA(Table1[[#This Row],[Column2]]),Table1[[#This Row],[comments2]], IF(O135="NA",M135,_xlfn.CONCAT(O135,"--",M135)))</f>
        <v>MN123670 and KT833187 are merged</v>
      </c>
      <c r="O135" s="2" t="s">
        <v>39</v>
      </c>
      <c r="P135" s="2" t="s">
        <v>155</v>
      </c>
      <c r="Q135" s="2" t="s">
        <v>156</v>
      </c>
      <c r="S135" s="2" t="s">
        <v>42</v>
      </c>
      <c r="T135" s="2" t="s">
        <v>43</v>
      </c>
      <c r="U135" s="2" t="s">
        <v>44</v>
      </c>
      <c r="V135" s="2" t="s">
        <v>45</v>
      </c>
      <c r="W135" s="2">
        <v>754</v>
      </c>
      <c r="X135" s="2" t="s">
        <v>46</v>
      </c>
      <c r="Y135" s="2" t="s">
        <v>47</v>
      </c>
      <c r="AA135" s="2" t="s">
        <v>48</v>
      </c>
      <c r="AB135" s="2">
        <v>1</v>
      </c>
      <c r="AC135" s="2" t="s">
        <v>293</v>
      </c>
      <c r="AD135" s="2" t="s">
        <v>50</v>
      </c>
      <c r="AE135" s="4">
        <v>9.8068329999999992</v>
      </c>
      <c r="AF135" s="4">
        <v>-10.863267</v>
      </c>
      <c r="AG135" s="2" t="s">
        <v>51</v>
      </c>
      <c r="AI135" s="2" t="s">
        <v>52</v>
      </c>
      <c r="AJ135" s="2" t="str">
        <f>IF(Table1[[#This Row],[Host]]="Mastomys natalensis", "Mn", IF(Table1[[#This Row],[Host]]="Homo Sapiens","Human","PROBLEMMEMEMMEMEMEMM"))</f>
        <v>Mn</v>
      </c>
      <c r="AK135" s="2" t="s">
        <v>53</v>
      </c>
      <c r="AL135" s="5">
        <v>41595</v>
      </c>
      <c r="AM135" s="6" t="s">
        <v>1070</v>
      </c>
      <c r="AO135" s="2" t="s">
        <v>399</v>
      </c>
    </row>
    <row r="136" spans="1:41" x14ac:dyDescent="0.3">
      <c r="A136" s="2">
        <v>202</v>
      </c>
      <c r="B136" s="2" t="str">
        <f>_xlfn.CONCAT(Table1[[#This Row],[Acession_no_.1]],"|",Table1[[#This Row],[Strain name]],"|",Table1[[#This Row],[host_simple]],"|",Table1[[#This Row],[Country]],"|",Table1[[#This Row],[date_text]])</f>
        <v>MN123671|Dam71|Mn|Guinea|2014-03-26</v>
      </c>
      <c r="C136" s="2" t="s">
        <v>1305</v>
      </c>
      <c r="D136" s="2" t="str">
        <f>IF(ISNUMBER(MATCH(B136,finalSelection!$A$1:$A$497,0)),"yes","no")</f>
        <v>yes</v>
      </c>
      <c r="E136" s="2" t="s">
        <v>901</v>
      </c>
      <c r="F136" s="2" t="s">
        <v>400</v>
      </c>
      <c r="H136" s="2" t="s">
        <v>401</v>
      </c>
      <c r="I136" s="2" t="s">
        <v>36</v>
      </c>
      <c r="J136" s="2" t="s">
        <v>37</v>
      </c>
      <c r="K136" s="2" t="s">
        <v>38</v>
      </c>
      <c r="L136" s="2" t="s">
        <v>37</v>
      </c>
      <c r="M136" s="2" t="str">
        <f>VLOOKUP(C136,seqConcatenated!$A$1:$B$124,2, FALSE)</f>
        <v>MN123671 and KT833207 are merged</v>
      </c>
      <c r="N136" s="2" t="str">
        <f>IF(ISNA(Table1[[#This Row],[Column2]]),Table1[[#This Row],[comments2]], IF(O136="NA",M136,_xlfn.CONCAT(O136,"--",M136)))</f>
        <v>MN123671 and KT833207 are merged</v>
      </c>
      <c r="O136" s="2" t="s">
        <v>39</v>
      </c>
      <c r="P136" s="2" t="s">
        <v>150</v>
      </c>
      <c r="Q136" s="2" t="s">
        <v>151</v>
      </c>
      <c r="S136" s="2" t="s">
        <v>42</v>
      </c>
      <c r="T136" s="2" t="s">
        <v>43</v>
      </c>
      <c r="U136" s="2" t="s">
        <v>44</v>
      </c>
      <c r="V136" s="2" t="s">
        <v>45</v>
      </c>
      <c r="W136" s="2">
        <v>888</v>
      </c>
      <c r="X136" s="2" t="s">
        <v>46</v>
      </c>
      <c r="Y136" s="2" t="s">
        <v>47</v>
      </c>
      <c r="AA136" s="2" t="s">
        <v>48</v>
      </c>
      <c r="AB136" s="2">
        <v>1</v>
      </c>
      <c r="AC136" s="2" t="s">
        <v>293</v>
      </c>
      <c r="AD136" s="2" t="s">
        <v>50</v>
      </c>
      <c r="AE136" s="4">
        <v>9.8068329999999992</v>
      </c>
      <c r="AF136" s="4">
        <v>-10.863267</v>
      </c>
      <c r="AG136" s="2" t="s">
        <v>51</v>
      </c>
      <c r="AI136" s="2" t="s">
        <v>52</v>
      </c>
      <c r="AJ136" s="2" t="str">
        <f>IF(Table1[[#This Row],[Host]]="Mastomys natalensis", "Mn", IF(Table1[[#This Row],[Host]]="Homo Sapiens","Human","PROBLEMMEMEMMEMEMEMM"))</f>
        <v>Mn</v>
      </c>
      <c r="AK136" s="2" t="s">
        <v>53</v>
      </c>
      <c r="AL136" s="5">
        <v>41724</v>
      </c>
      <c r="AM136" s="6" t="s">
        <v>1067</v>
      </c>
      <c r="AO136" s="2" t="s">
        <v>402</v>
      </c>
    </row>
    <row r="137" spans="1:41" x14ac:dyDescent="0.3">
      <c r="A137" s="2">
        <v>303</v>
      </c>
      <c r="B137" s="2" t="str">
        <f>_xlfn.CONCAT(Table1[[#This Row],[Acession_no_.1]],"|",Table1[[#This Row],[Strain name]],"|",Table1[[#This Row],[host_simple]],"|",Table1[[#This Row],[Country]],"|",Table1[[#This Row],[date_text]])</f>
        <v>KT833207|Dam71|Mn|Guinea|2014-03-26</v>
      </c>
      <c r="C137" s="2" t="s">
        <v>1305</v>
      </c>
      <c r="D137" s="2" t="str">
        <f>IF(ISNUMBER(MATCH(B137,finalSelection!$A$1:$A$497,0)),"yes","no")</f>
        <v>no</v>
      </c>
      <c r="E137" s="2" t="s">
        <v>902</v>
      </c>
      <c r="F137" s="2" t="s">
        <v>403</v>
      </c>
      <c r="H137" s="2" t="s">
        <v>401</v>
      </c>
      <c r="I137" s="2" t="s">
        <v>56</v>
      </c>
      <c r="J137" s="2" t="s">
        <v>154</v>
      </c>
      <c r="K137" s="2" t="s">
        <v>38</v>
      </c>
      <c r="L137" s="2" t="s">
        <v>37</v>
      </c>
      <c r="M137" s="2" t="str">
        <f>VLOOKUP(C137,seqConcatenated!$A$1:$B$124,2, FALSE)</f>
        <v>MN123671 and KT833207 are merged</v>
      </c>
      <c r="N137" s="2" t="str">
        <f>IF(ISNA(Table1[[#This Row],[Column2]]),Table1[[#This Row],[comments2]], IF(O137="NA",M137,_xlfn.CONCAT(O137,"--",M137)))</f>
        <v>MN123671 and KT833207 are merged</v>
      </c>
      <c r="O137" s="2" t="s">
        <v>39</v>
      </c>
      <c r="P137" s="2" t="s">
        <v>155</v>
      </c>
      <c r="Q137" s="2" t="s">
        <v>156</v>
      </c>
      <c r="S137" s="2" t="s">
        <v>42</v>
      </c>
      <c r="T137" s="2" t="s">
        <v>43</v>
      </c>
      <c r="U137" s="2" t="s">
        <v>44</v>
      </c>
      <c r="V137" s="2" t="s">
        <v>45</v>
      </c>
      <c r="W137" s="2">
        <v>754</v>
      </c>
      <c r="X137" s="2" t="s">
        <v>46</v>
      </c>
      <c r="Y137" s="2" t="s">
        <v>47</v>
      </c>
      <c r="AA137" s="2" t="s">
        <v>48</v>
      </c>
      <c r="AB137" s="2">
        <v>1</v>
      </c>
      <c r="AC137" s="2" t="s">
        <v>293</v>
      </c>
      <c r="AD137" s="2" t="s">
        <v>50</v>
      </c>
      <c r="AE137" s="4">
        <v>9.8068329999999992</v>
      </c>
      <c r="AF137" s="4">
        <v>-10.863267</v>
      </c>
      <c r="AG137" s="2" t="s">
        <v>51</v>
      </c>
      <c r="AI137" s="2" t="s">
        <v>52</v>
      </c>
      <c r="AJ137" s="2" t="str">
        <f>IF(Table1[[#This Row],[Host]]="Mastomys natalensis", "Mn", IF(Table1[[#This Row],[Host]]="Homo Sapiens","Human","PROBLEMMEMEMMEMEMEMM"))</f>
        <v>Mn</v>
      </c>
      <c r="AK137" s="2" t="s">
        <v>53</v>
      </c>
      <c r="AL137" s="5">
        <v>41724</v>
      </c>
      <c r="AM137" s="6" t="s">
        <v>1067</v>
      </c>
      <c r="AO137" s="2" t="s">
        <v>404</v>
      </c>
    </row>
    <row r="138" spans="1:41" x14ac:dyDescent="0.3">
      <c r="A138" s="2">
        <v>203</v>
      </c>
      <c r="B138" s="2" t="str">
        <f>_xlfn.CONCAT(Table1[[#This Row],[Acession_no_.1]],"|",Table1[[#This Row],[Strain name]],"|",Table1[[#This Row],[host_simple]],"|",Table1[[#This Row],[Country]],"|",Table1[[#This Row],[date_text]])</f>
        <v>MN123672|Dam72|Mn|Guinea|2014-03-26</v>
      </c>
      <c r="C138" s="2" t="s">
        <v>1306</v>
      </c>
      <c r="D138" s="2" t="str">
        <f>IF(ISNUMBER(MATCH(B138,finalSelection!$A$1:$A$497,0)),"yes","no")</f>
        <v>no</v>
      </c>
      <c r="E138" s="2" t="s">
        <v>903</v>
      </c>
      <c r="F138" s="2" t="s">
        <v>405</v>
      </c>
      <c r="H138" s="2" t="s">
        <v>406</v>
      </c>
      <c r="I138" s="2" t="s">
        <v>36</v>
      </c>
      <c r="J138" s="2" t="s">
        <v>37</v>
      </c>
      <c r="K138" s="2" t="s">
        <v>38</v>
      </c>
      <c r="L138" s="2" t="s">
        <v>37</v>
      </c>
      <c r="M138" s="2" t="str">
        <f>VLOOKUP(C138,seqConcatenated!$A$1:$B$124,2, FALSE)</f>
        <v>MN123672 and KT833208 are merged</v>
      </c>
      <c r="N138" s="2" t="str">
        <f>IF(ISNA(Table1[[#This Row],[Column2]]),Table1[[#This Row],[comments2]], IF(O138="NA",M138,_xlfn.CONCAT(O138,"--",M138)))</f>
        <v>MN123672 and KT833208 are merged</v>
      </c>
      <c r="O138" s="2" t="s">
        <v>39</v>
      </c>
      <c r="P138" s="2" t="s">
        <v>150</v>
      </c>
      <c r="Q138" s="2" t="s">
        <v>151</v>
      </c>
      <c r="S138" s="2" t="s">
        <v>42</v>
      </c>
      <c r="T138" s="2" t="s">
        <v>43</v>
      </c>
      <c r="U138" s="2" t="s">
        <v>44</v>
      </c>
      <c r="V138" s="2" t="s">
        <v>45</v>
      </c>
      <c r="W138" s="2">
        <v>888</v>
      </c>
      <c r="X138" s="2" t="s">
        <v>46</v>
      </c>
      <c r="Y138" s="2" t="s">
        <v>47</v>
      </c>
      <c r="AA138" s="2" t="s">
        <v>48</v>
      </c>
      <c r="AB138" s="2">
        <v>1</v>
      </c>
      <c r="AC138" s="2" t="s">
        <v>293</v>
      </c>
      <c r="AD138" s="2" t="s">
        <v>50</v>
      </c>
      <c r="AE138" s="4">
        <v>9.8068329999999992</v>
      </c>
      <c r="AF138" s="4">
        <v>-10.863267</v>
      </c>
      <c r="AG138" s="2" t="s">
        <v>51</v>
      </c>
      <c r="AI138" s="2" t="s">
        <v>52</v>
      </c>
      <c r="AJ138" s="2" t="str">
        <f>IF(Table1[[#This Row],[Host]]="Mastomys natalensis", "Mn", IF(Table1[[#This Row],[Host]]="Homo Sapiens","Human","PROBLEMMEMEMMEMEMEMM"))</f>
        <v>Mn</v>
      </c>
      <c r="AK138" s="2" t="s">
        <v>53</v>
      </c>
      <c r="AL138" s="5">
        <v>41724</v>
      </c>
      <c r="AM138" s="6" t="s">
        <v>1067</v>
      </c>
      <c r="AO138" s="2" t="s">
        <v>407</v>
      </c>
    </row>
    <row r="139" spans="1:41" x14ac:dyDescent="0.3">
      <c r="A139" s="2">
        <v>304</v>
      </c>
      <c r="B139" s="2" t="str">
        <f>_xlfn.CONCAT(Table1[[#This Row],[Acession_no_.1]],"|",Table1[[#This Row],[Strain name]],"|",Table1[[#This Row],[host_simple]],"|",Table1[[#This Row],[Country]],"|",Table1[[#This Row],[date_text]])</f>
        <v>KT833208|Dam72|Mn|Guinea|2014-03-26</v>
      </c>
      <c r="C139" s="2" t="s">
        <v>1306</v>
      </c>
      <c r="D139" s="2" t="str">
        <f>IF(ISNUMBER(MATCH(B139,finalSelection!$A$1:$A$497,0)),"yes","no")</f>
        <v>no</v>
      </c>
      <c r="E139" s="2" t="s">
        <v>904</v>
      </c>
      <c r="F139" s="2" t="s">
        <v>408</v>
      </c>
      <c r="H139" s="2" t="s">
        <v>406</v>
      </c>
      <c r="I139" s="2" t="s">
        <v>56</v>
      </c>
      <c r="J139" s="2" t="s">
        <v>279</v>
      </c>
      <c r="K139" s="2" t="s">
        <v>38</v>
      </c>
      <c r="L139" s="2" t="s">
        <v>37</v>
      </c>
      <c r="M139" s="2" t="str">
        <f>VLOOKUP(C139,seqConcatenated!$A$1:$B$124,2, FALSE)</f>
        <v>MN123672 and KT833208 are merged</v>
      </c>
      <c r="N139" s="2" t="str">
        <f>IF(ISNA(Table1[[#This Row],[Column2]]),Table1[[#This Row],[comments2]], IF(O139="NA",M139,_xlfn.CONCAT(O139,"--",M139)))</f>
        <v>MN123672 and KT833208 are merged</v>
      </c>
      <c r="O139" s="2" t="s">
        <v>39</v>
      </c>
      <c r="P139" s="2" t="s">
        <v>155</v>
      </c>
      <c r="Q139" s="2" t="s">
        <v>156</v>
      </c>
      <c r="S139" s="2" t="s">
        <v>42</v>
      </c>
      <c r="T139" s="2" t="s">
        <v>43</v>
      </c>
      <c r="U139" s="2" t="s">
        <v>44</v>
      </c>
      <c r="V139" s="2" t="s">
        <v>45</v>
      </c>
      <c r="W139" s="2">
        <v>754</v>
      </c>
      <c r="X139" s="2" t="s">
        <v>46</v>
      </c>
      <c r="Y139" s="2" t="s">
        <v>47</v>
      </c>
      <c r="AA139" s="2" t="s">
        <v>48</v>
      </c>
      <c r="AB139" s="2">
        <v>1</v>
      </c>
      <c r="AC139" s="2" t="s">
        <v>293</v>
      </c>
      <c r="AD139" s="2" t="s">
        <v>50</v>
      </c>
      <c r="AE139" s="4">
        <v>9.8068329999999992</v>
      </c>
      <c r="AF139" s="4">
        <v>-10.863267</v>
      </c>
      <c r="AG139" s="2" t="s">
        <v>51</v>
      </c>
      <c r="AI139" s="2" t="s">
        <v>52</v>
      </c>
      <c r="AJ139" s="2" t="str">
        <f>IF(Table1[[#This Row],[Host]]="Mastomys natalensis", "Mn", IF(Table1[[#This Row],[Host]]="Homo Sapiens","Human","PROBLEMMEMEMMEMEMEMM"))</f>
        <v>Mn</v>
      </c>
      <c r="AK139" s="2" t="s">
        <v>53</v>
      </c>
      <c r="AL139" s="5">
        <v>41724</v>
      </c>
      <c r="AM139" s="6" t="s">
        <v>1067</v>
      </c>
      <c r="AO139" s="2" t="s">
        <v>409</v>
      </c>
    </row>
    <row r="140" spans="1:41" x14ac:dyDescent="0.3">
      <c r="A140" s="2">
        <v>204</v>
      </c>
      <c r="B140" s="2" t="str">
        <f>_xlfn.CONCAT(Table1[[#This Row],[Acession_no_.1]],"|",Table1[[#This Row],[Strain name]],"|",Table1[[#This Row],[host_simple]],"|",Table1[[#This Row],[Country]],"|",Table1[[#This Row],[date_text]])</f>
        <v>MN123673|Dam90|Mn|Guinea|2014-03-27</v>
      </c>
      <c r="C140" s="2" t="s">
        <v>1307</v>
      </c>
      <c r="D140" s="2" t="str">
        <f>IF(ISNUMBER(MATCH(B140,finalSelection!$A$1:$A$497,0)),"yes","no")</f>
        <v>yes</v>
      </c>
      <c r="E140" s="2" t="s">
        <v>905</v>
      </c>
      <c r="F140" s="2" t="s">
        <v>410</v>
      </c>
      <c r="H140" s="2" t="s">
        <v>411</v>
      </c>
      <c r="I140" s="2" t="s">
        <v>36</v>
      </c>
      <c r="J140" s="2" t="s">
        <v>37</v>
      </c>
      <c r="K140" s="2" t="s">
        <v>38</v>
      </c>
      <c r="L140" s="2" t="s">
        <v>37</v>
      </c>
      <c r="M140" s="2" t="str">
        <f>VLOOKUP(C140,seqConcatenated!$A$1:$B$124,2, FALSE)</f>
        <v>MN123673 and KT833209 are merged</v>
      </c>
      <c r="N140" s="2" t="str">
        <f>IF(ISNA(Table1[[#This Row],[Column2]]),Table1[[#This Row],[comments2]], IF(O140="NA",M140,_xlfn.CONCAT(O140,"--",M140)))</f>
        <v>MN123673 and KT833209 are merged</v>
      </c>
      <c r="O140" s="2" t="s">
        <v>39</v>
      </c>
      <c r="P140" s="2" t="s">
        <v>150</v>
      </c>
      <c r="Q140" s="2" t="s">
        <v>151</v>
      </c>
      <c r="S140" s="2" t="s">
        <v>42</v>
      </c>
      <c r="T140" s="2" t="s">
        <v>43</v>
      </c>
      <c r="U140" s="2" t="s">
        <v>44</v>
      </c>
      <c r="V140" s="2" t="s">
        <v>45</v>
      </c>
      <c r="W140" s="2">
        <v>888</v>
      </c>
      <c r="X140" s="2" t="s">
        <v>46</v>
      </c>
      <c r="Y140" s="2" t="s">
        <v>47</v>
      </c>
      <c r="AA140" s="2" t="s">
        <v>48</v>
      </c>
      <c r="AB140" s="2">
        <v>1</v>
      </c>
      <c r="AC140" s="2" t="s">
        <v>293</v>
      </c>
      <c r="AD140" s="2" t="s">
        <v>50</v>
      </c>
      <c r="AE140" s="4">
        <v>9.8068329999999992</v>
      </c>
      <c r="AF140" s="4">
        <v>-10.863267</v>
      </c>
      <c r="AG140" s="2" t="s">
        <v>51</v>
      </c>
      <c r="AI140" s="2" t="s">
        <v>52</v>
      </c>
      <c r="AJ140" s="2" t="str">
        <f>IF(Table1[[#This Row],[Host]]="Mastomys natalensis", "Mn", IF(Table1[[#This Row],[Host]]="Homo Sapiens","Human","PROBLEMMEMEMMEMEMEMM"))</f>
        <v>Mn</v>
      </c>
      <c r="AK140" s="2" t="s">
        <v>53</v>
      </c>
      <c r="AL140" s="5">
        <v>41725</v>
      </c>
      <c r="AM140" s="6" t="s">
        <v>1068</v>
      </c>
      <c r="AO140" s="2" t="s">
        <v>412</v>
      </c>
    </row>
    <row r="141" spans="1:41" x14ac:dyDescent="0.3">
      <c r="A141" s="2">
        <v>305</v>
      </c>
      <c r="B141" s="2" t="str">
        <f>_xlfn.CONCAT(Table1[[#This Row],[Acession_no_.1]],"|",Table1[[#This Row],[Strain name]],"|",Table1[[#This Row],[host_simple]],"|",Table1[[#This Row],[Country]],"|",Table1[[#This Row],[date_text]])</f>
        <v>KT833209|Dam90|Mn|Guinea|2014-03-27</v>
      </c>
      <c r="C141" s="2" t="s">
        <v>1307</v>
      </c>
      <c r="D141" s="2" t="str">
        <f>IF(ISNUMBER(MATCH(B141,finalSelection!$A$1:$A$497,0)),"yes","no")</f>
        <v>no</v>
      </c>
      <c r="E141" s="2" t="s">
        <v>906</v>
      </c>
      <c r="F141" s="2" t="s">
        <v>413</v>
      </c>
      <c r="H141" s="2" t="s">
        <v>411</v>
      </c>
      <c r="I141" s="2" t="s">
        <v>56</v>
      </c>
      <c r="J141" s="2" t="s">
        <v>154</v>
      </c>
      <c r="K141" s="2" t="s">
        <v>38</v>
      </c>
      <c r="L141" s="2" t="s">
        <v>37</v>
      </c>
      <c r="M141" s="2" t="str">
        <f>VLOOKUP(C141,seqConcatenated!$A$1:$B$124,2, FALSE)</f>
        <v>MN123673 and KT833209 are merged</v>
      </c>
      <c r="N141" s="2" t="str">
        <f>IF(ISNA(Table1[[#This Row],[Column2]]),Table1[[#This Row],[comments2]], IF(O141="NA",M141,_xlfn.CONCAT(O141,"--",M141)))</f>
        <v>MN123673 and KT833209 are merged</v>
      </c>
      <c r="O141" s="2" t="s">
        <v>39</v>
      </c>
      <c r="P141" s="2" t="s">
        <v>155</v>
      </c>
      <c r="Q141" s="2" t="s">
        <v>156</v>
      </c>
      <c r="S141" s="2" t="s">
        <v>42</v>
      </c>
      <c r="T141" s="2" t="s">
        <v>43</v>
      </c>
      <c r="U141" s="2" t="s">
        <v>44</v>
      </c>
      <c r="V141" s="2" t="s">
        <v>45</v>
      </c>
      <c r="W141" s="2">
        <v>754</v>
      </c>
      <c r="X141" s="2" t="s">
        <v>46</v>
      </c>
      <c r="Y141" s="2" t="s">
        <v>47</v>
      </c>
      <c r="AA141" s="2" t="s">
        <v>48</v>
      </c>
      <c r="AB141" s="2">
        <v>1</v>
      </c>
      <c r="AC141" s="2" t="s">
        <v>293</v>
      </c>
      <c r="AD141" s="2" t="s">
        <v>50</v>
      </c>
      <c r="AE141" s="4">
        <v>9.8068329999999992</v>
      </c>
      <c r="AF141" s="4">
        <v>-10.863267</v>
      </c>
      <c r="AG141" s="2" t="s">
        <v>51</v>
      </c>
      <c r="AI141" s="2" t="s">
        <v>52</v>
      </c>
      <c r="AJ141" s="2" t="str">
        <f>IF(Table1[[#This Row],[Host]]="Mastomys natalensis", "Mn", IF(Table1[[#This Row],[Host]]="Homo Sapiens","Human","PROBLEMMEMEMMEMEMEMM"))</f>
        <v>Mn</v>
      </c>
      <c r="AK141" s="2" t="s">
        <v>53</v>
      </c>
      <c r="AL141" s="5">
        <v>41725</v>
      </c>
      <c r="AM141" s="6" t="s">
        <v>1068</v>
      </c>
      <c r="AO141" s="2" t="s">
        <v>414</v>
      </c>
    </row>
    <row r="142" spans="1:41" x14ac:dyDescent="0.3">
      <c r="A142" s="2">
        <v>205</v>
      </c>
      <c r="B142" s="2" t="str">
        <f>_xlfn.CONCAT(Table1[[#This Row],[Acession_no_.1]],"|",Table1[[#This Row],[Strain name]],"|",Table1[[#This Row],[host_simple]],"|",Table1[[#This Row],[Country]],"|",Table1[[#This Row],[date_text]])</f>
        <v>MN123674|Dam95|Mn|Guinea|2014-03-27</v>
      </c>
      <c r="C142" s="2" t="s">
        <v>1308</v>
      </c>
      <c r="D142" s="2" t="str">
        <f>IF(ISNUMBER(MATCH(B142,finalSelection!$A$1:$A$497,0)),"yes","no")</f>
        <v>yes</v>
      </c>
      <c r="E142" s="2" t="s">
        <v>907</v>
      </c>
      <c r="F142" s="2" t="s">
        <v>415</v>
      </c>
      <c r="H142" s="2" t="s">
        <v>416</v>
      </c>
      <c r="I142" s="2" t="s">
        <v>36</v>
      </c>
      <c r="J142" s="2" t="s">
        <v>37</v>
      </c>
      <c r="K142" s="2" t="s">
        <v>38</v>
      </c>
      <c r="L142" s="2" t="s">
        <v>37</v>
      </c>
      <c r="M142" s="2" t="str">
        <f>VLOOKUP(C142,seqConcatenated!$A$1:$B$124,2, FALSE)</f>
        <v>MN123674 and KT833210 are merged</v>
      </c>
      <c r="N142" s="2" t="str">
        <f>IF(ISNA(Table1[[#This Row],[Column2]]),Table1[[#This Row],[comments2]], IF(O142="NA",M142,_xlfn.CONCAT(O142,"--",M142)))</f>
        <v>MN123674 and KT833210 are merged</v>
      </c>
      <c r="O142" s="2" t="s">
        <v>39</v>
      </c>
      <c r="P142" s="2" t="s">
        <v>150</v>
      </c>
      <c r="Q142" s="2" t="s">
        <v>151</v>
      </c>
      <c r="S142" s="2" t="s">
        <v>42</v>
      </c>
      <c r="T142" s="2" t="s">
        <v>43</v>
      </c>
      <c r="U142" s="2" t="s">
        <v>44</v>
      </c>
      <c r="V142" s="2" t="s">
        <v>45</v>
      </c>
      <c r="W142" s="2">
        <v>888</v>
      </c>
      <c r="X142" s="2" t="s">
        <v>46</v>
      </c>
      <c r="Y142" s="2" t="s">
        <v>47</v>
      </c>
      <c r="AA142" s="2" t="s">
        <v>48</v>
      </c>
      <c r="AB142" s="2">
        <v>1</v>
      </c>
      <c r="AC142" s="2" t="s">
        <v>293</v>
      </c>
      <c r="AD142" s="2" t="s">
        <v>50</v>
      </c>
      <c r="AE142" s="4">
        <v>9.8068329999999992</v>
      </c>
      <c r="AF142" s="4">
        <v>-10.863267</v>
      </c>
      <c r="AG142" s="2" t="s">
        <v>51</v>
      </c>
      <c r="AI142" s="2" t="s">
        <v>52</v>
      </c>
      <c r="AJ142" s="2" t="str">
        <f>IF(Table1[[#This Row],[Host]]="Mastomys natalensis", "Mn", IF(Table1[[#This Row],[Host]]="Homo Sapiens","Human","PROBLEMMEMEMMEMEMEMM"))</f>
        <v>Mn</v>
      </c>
      <c r="AK142" s="2" t="s">
        <v>53</v>
      </c>
      <c r="AL142" s="5">
        <v>41725</v>
      </c>
      <c r="AM142" s="6" t="s">
        <v>1068</v>
      </c>
      <c r="AO142" s="2" t="s">
        <v>417</v>
      </c>
    </row>
    <row r="143" spans="1:41" x14ac:dyDescent="0.3">
      <c r="A143" s="2">
        <v>306</v>
      </c>
      <c r="B143" s="2" t="str">
        <f>_xlfn.CONCAT(Table1[[#This Row],[Acession_no_.1]],"|",Table1[[#This Row],[Strain name]],"|",Table1[[#This Row],[host_simple]],"|",Table1[[#This Row],[Country]],"|",Table1[[#This Row],[date_text]])</f>
        <v>KT833210|Dam95|Mn|Guinea|2014-03-27</v>
      </c>
      <c r="C143" s="2" t="s">
        <v>1308</v>
      </c>
      <c r="D143" s="2" t="str">
        <f>IF(ISNUMBER(MATCH(B143,finalSelection!$A$1:$A$497,0)),"yes","no")</f>
        <v>no</v>
      </c>
      <c r="E143" s="2" t="s">
        <v>908</v>
      </c>
      <c r="F143" s="2" t="s">
        <v>418</v>
      </c>
      <c r="H143" s="2" t="s">
        <v>416</v>
      </c>
      <c r="I143" s="2" t="s">
        <v>56</v>
      </c>
      <c r="J143" s="2" t="s">
        <v>279</v>
      </c>
      <c r="K143" s="2" t="s">
        <v>38</v>
      </c>
      <c r="L143" s="2" t="s">
        <v>37</v>
      </c>
      <c r="M143" s="2" t="str">
        <f>VLOOKUP(C143,seqConcatenated!$A$1:$B$124,2, FALSE)</f>
        <v>MN123674 and KT833210 are merged</v>
      </c>
      <c r="N143" s="2" t="str">
        <f>IF(ISNA(Table1[[#This Row],[Column2]]),Table1[[#This Row],[comments2]], IF(O143="NA",M143,_xlfn.CONCAT(O143,"--",M143)))</f>
        <v>MN123674 and KT833210 are merged</v>
      </c>
      <c r="O143" s="2" t="s">
        <v>39</v>
      </c>
      <c r="P143" s="2" t="s">
        <v>155</v>
      </c>
      <c r="Q143" s="2" t="s">
        <v>156</v>
      </c>
      <c r="S143" s="2" t="s">
        <v>42</v>
      </c>
      <c r="T143" s="2" t="s">
        <v>43</v>
      </c>
      <c r="U143" s="2" t="s">
        <v>44</v>
      </c>
      <c r="V143" s="2" t="s">
        <v>45</v>
      </c>
      <c r="W143" s="2">
        <v>754</v>
      </c>
      <c r="X143" s="2" t="s">
        <v>46</v>
      </c>
      <c r="Y143" s="2" t="s">
        <v>47</v>
      </c>
      <c r="AA143" s="2" t="s">
        <v>48</v>
      </c>
      <c r="AB143" s="2">
        <v>1</v>
      </c>
      <c r="AC143" s="2" t="s">
        <v>293</v>
      </c>
      <c r="AD143" s="2" t="s">
        <v>50</v>
      </c>
      <c r="AE143" s="4">
        <v>9.8068329999999992</v>
      </c>
      <c r="AF143" s="4">
        <v>-10.863267</v>
      </c>
      <c r="AG143" s="2" t="s">
        <v>51</v>
      </c>
      <c r="AI143" s="2" t="s">
        <v>52</v>
      </c>
      <c r="AJ143" s="2" t="str">
        <f>IF(Table1[[#This Row],[Host]]="Mastomys natalensis", "Mn", IF(Table1[[#This Row],[Host]]="Homo Sapiens","Human","PROBLEMMEMEMMEMEMEMM"))</f>
        <v>Mn</v>
      </c>
      <c r="AK143" s="2" t="s">
        <v>53</v>
      </c>
      <c r="AL143" s="5">
        <v>41725</v>
      </c>
      <c r="AM143" s="6" t="s">
        <v>1068</v>
      </c>
      <c r="AO143" s="2" t="s">
        <v>419</v>
      </c>
    </row>
    <row r="144" spans="1:41" x14ac:dyDescent="0.3">
      <c r="A144" s="2">
        <v>186</v>
      </c>
      <c r="B144" s="2" t="str">
        <f>_xlfn.CONCAT(Table1[[#This Row],[Acession_no_.1]],"|",Table1[[#This Row],[Strain name]],"|",Table1[[#This Row],[host_simple]],"|",Table1[[#This Row],[Country]],"|",Table1[[#This Row],[date_text]])</f>
        <v>MN123655|DGD-104|Mn|Guinea|2005-02-17</v>
      </c>
      <c r="C144" s="2" t="s">
        <v>1309</v>
      </c>
      <c r="D144" s="2" t="str">
        <f>IF(ISNUMBER(MATCH(B144,finalSelection!$A$1:$A$497,0)),"yes","no")</f>
        <v>no</v>
      </c>
      <c r="E144" s="2" t="s">
        <v>909</v>
      </c>
      <c r="F144" s="2" t="s">
        <v>420</v>
      </c>
      <c r="H144" s="2" t="s">
        <v>421</v>
      </c>
      <c r="I144" s="2" t="s">
        <v>36</v>
      </c>
      <c r="J144" s="2" t="s">
        <v>37</v>
      </c>
      <c r="K144" s="2" t="s">
        <v>38</v>
      </c>
      <c r="L144" s="2" t="s">
        <v>37</v>
      </c>
      <c r="M144" s="2" t="e">
        <f>VLOOKUP(C144,seqConcatenated!$A$1:$B$124,2, FALSE)</f>
        <v>#N/A</v>
      </c>
      <c r="N144" s="2" t="str">
        <f>IF(ISNA(Table1[[#This Row],[Column2]]),Table1[[#This Row],[comments2]], IF(O144="NA",M144,_xlfn.CONCAT(O144,"--",M144)))</f>
        <v>NA</v>
      </c>
      <c r="O144" s="2" t="s">
        <v>39</v>
      </c>
      <c r="P144" s="2" t="s">
        <v>150</v>
      </c>
      <c r="Q144" s="2" t="s">
        <v>151</v>
      </c>
      <c r="S144" s="2" t="s">
        <v>42</v>
      </c>
      <c r="T144" s="2" t="s">
        <v>43</v>
      </c>
      <c r="U144" s="2" t="s">
        <v>44</v>
      </c>
      <c r="V144" s="2" t="s">
        <v>45</v>
      </c>
      <c r="W144" s="2">
        <v>900</v>
      </c>
      <c r="X144" s="2" t="s">
        <v>46</v>
      </c>
      <c r="Y144" s="2" t="s">
        <v>47</v>
      </c>
      <c r="AA144" s="2" t="s">
        <v>48</v>
      </c>
      <c r="AB144" s="2">
        <v>1</v>
      </c>
      <c r="AC144" s="2" t="s">
        <v>422</v>
      </c>
      <c r="AD144" s="2" t="s">
        <v>50</v>
      </c>
      <c r="AE144" s="4">
        <v>8.3388109999999998</v>
      </c>
      <c r="AF144" s="4">
        <v>-10.543925</v>
      </c>
      <c r="AG144" s="2" t="s">
        <v>51</v>
      </c>
      <c r="AI144" s="2" t="s">
        <v>52</v>
      </c>
      <c r="AJ144" s="2" t="str">
        <f>IF(Table1[[#This Row],[Host]]="Mastomys natalensis", "Mn", IF(Table1[[#This Row],[Host]]="Homo Sapiens","Human","PROBLEMMEMEMMEMEMEMM"))</f>
        <v>Mn</v>
      </c>
      <c r="AK144" s="2" t="s">
        <v>53</v>
      </c>
      <c r="AL144" s="5">
        <v>38400</v>
      </c>
      <c r="AM144" s="6" t="s">
        <v>1071</v>
      </c>
      <c r="AO144" s="2" t="s">
        <v>423</v>
      </c>
    </row>
    <row r="145" spans="1:41" x14ac:dyDescent="0.3">
      <c r="A145" s="2">
        <v>187</v>
      </c>
      <c r="B145" s="2" t="str">
        <f>_xlfn.CONCAT(Table1[[#This Row],[Acession_no_.1]],"|",Table1[[#This Row],[Strain name]],"|",Table1[[#This Row],[host_simple]],"|",Table1[[#This Row],[Country]],"|",Table1[[#This Row],[date_text]])</f>
        <v>MN123656|DGD-112|Mn|Guinea|2005-02-17</v>
      </c>
      <c r="C145" s="2" t="s">
        <v>1310</v>
      </c>
      <c r="D145" s="2" t="str">
        <f>IF(ISNUMBER(MATCH(B145,finalSelection!$A$1:$A$497,0)),"yes","no")</f>
        <v>no</v>
      </c>
      <c r="E145" s="2" t="s">
        <v>910</v>
      </c>
      <c r="F145" s="2" t="s">
        <v>424</v>
      </c>
      <c r="H145" s="2" t="s">
        <v>425</v>
      </c>
      <c r="I145" s="2" t="s">
        <v>36</v>
      </c>
      <c r="J145" s="2" t="s">
        <v>37</v>
      </c>
      <c r="K145" s="2" t="s">
        <v>38</v>
      </c>
      <c r="L145" s="2" t="s">
        <v>37</v>
      </c>
      <c r="M145" s="2" t="e">
        <f>VLOOKUP(C145,seqConcatenated!$A$1:$B$124,2, FALSE)</f>
        <v>#N/A</v>
      </c>
      <c r="N145" s="2" t="str">
        <f>IF(ISNA(Table1[[#This Row],[Column2]]),Table1[[#This Row],[comments2]], IF(O145="NA",M145,_xlfn.CONCAT(O145,"--",M145)))</f>
        <v>NA</v>
      </c>
      <c r="O145" s="2" t="s">
        <v>39</v>
      </c>
      <c r="P145" s="2" t="s">
        <v>150</v>
      </c>
      <c r="Q145" s="2" t="s">
        <v>151</v>
      </c>
      <c r="S145" s="2" t="s">
        <v>42</v>
      </c>
      <c r="T145" s="2" t="s">
        <v>43</v>
      </c>
      <c r="U145" s="2" t="s">
        <v>44</v>
      </c>
      <c r="V145" s="2" t="s">
        <v>45</v>
      </c>
      <c r="W145" s="2">
        <v>900</v>
      </c>
      <c r="X145" s="2" t="s">
        <v>46</v>
      </c>
      <c r="Y145" s="2" t="s">
        <v>47</v>
      </c>
      <c r="AA145" s="2" t="s">
        <v>48</v>
      </c>
      <c r="AB145" s="2">
        <v>1</v>
      </c>
      <c r="AC145" s="2" t="s">
        <v>422</v>
      </c>
      <c r="AD145" s="2" t="s">
        <v>50</v>
      </c>
      <c r="AE145" s="4">
        <v>8.3388109999999998</v>
      </c>
      <c r="AF145" s="4">
        <v>-10.543925</v>
      </c>
      <c r="AG145" s="2" t="s">
        <v>51</v>
      </c>
      <c r="AI145" s="2" t="s">
        <v>52</v>
      </c>
      <c r="AJ145" s="2" t="str">
        <f>IF(Table1[[#This Row],[Host]]="Mastomys natalensis", "Mn", IF(Table1[[#This Row],[Host]]="Homo Sapiens","Human","PROBLEMMEMEMMEMEMEMM"))</f>
        <v>Mn</v>
      </c>
      <c r="AK145" s="2" t="s">
        <v>53</v>
      </c>
      <c r="AL145" s="5">
        <v>38400</v>
      </c>
      <c r="AM145" s="6" t="s">
        <v>1071</v>
      </c>
      <c r="AO145" s="2" t="s">
        <v>426</v>
      </c>
    </row>
    <row r="146" spans="1:41" x14ac:dyDescent="0.3">
      <c r="A146" s="2">
        <v>183</v>
      </c>
      <c r="B146" s="2" t="str">
        <f>_xlfn.CONCAT(Table1[[#This Row],[Acession_no_.1]],"|",Table1[[#This Row],[Strain name]],"|",Table1[[#This Row],[host_simple]],"|",Table1[[#This Row],[Country]],"|",Table1[[#This Row],[date_text]])</f>
        <v>MN123652|DGD-28|Mn|Guinea|2005-02-16</v>
      </c>
      <c r="C146" s="2" t="s">
        <v>1311</v>
      </c>
      <c r="D146" s="2" t="str">
        <f>IF(ISNUMBER(MATCH(B146,finalSelection!$A$1:$A$497,0)),"yes","no")</f>
        <v>no</v>
      </c>
      <c r="E146" s="2" t="s">
        <v>911</v>
      </c>
      <c r="F146" s="2" t="s">
        <v>427</v>
      </c>
      <c r="H146" s="2" t="s">
        <v>428</v>
      </c>
      <c r="I146" s="2" t="s">
        <v>36</v>
      </c>
      <c r="J146" s="2" t="s">
        <v>37</v>
      </c>
      <c r="K146" s="2" t="s">
        <v>38</v>
      </c>
      <c r="L146" s="2" t="s">
        <v>37</v>
      </c>
      <c r="M146" s="2" t="e">
        <f>VLOOKUP(C146,seqConcatenated!$A$1:$B$124,2, FALSE)</f>
        <v>#N/A</v>
      </c>
      <c r="N146" s="2" t="str">
        <f>IF(ISNA(Table1[[#This Row],[Column2]]),Table1[[#This Row],[comments2]], IF(O146="NA",M146,_xlfn.CONCAT(O146,"--",M146)))</f>
        <v>NA</v>
      </c>
      <c r="O146" s="2" t="s">
        <v>39</v>
      </c>
      <c r="P146" s="2" t="s">
        <v>150</v>
      </c>
      <c r="Q146" s="2" t="s">
        <v>151</v>
      </c>
      <c r="S146" s="2" t="s">
        <v>42</v>
      </c>
      <c r="T146" s="2" t="s">
        <v>43</v>
      </c>
      <c r="U146" s="2" t="s">
        <v>44</v>
      </c>
      <c r="V146" s="2" t="s">
        <v>45</v>
      </c>
      <c r="W146" s="2">
        <v>889</v>
      </c>
      <c r="X146" s="2" t="s">
        <v>46</v>
      </c>
      <c r="Y146" s="2" t="s">
        <v>47</v>
      </c>
      <c r="AA146" s="2" t="s">
        <v>48</v>
      </c>
      <c r="AB146" s="2">
        <v>1</v>
      </c>
      <c r="AC146" s="2" t="s">
        <v>422</v>
      </c>
      <c r="AD146" s="2" t="s">
        <v>50</v>
      </c>
      <c r="AE146" s="4">
        <v>8.3388109999999998</v>
      </c>
      <c r="AF146" s="4">
        <v>-10.543925</v>
      </c>
      <c r="AG146" s="2" t="s">
        <v>51</v>
      </c>
      <c r="AI146" s="2" t="s">
        <v>52</v>
      </c>
      <c r="AJ146" s="2" t="str">
        <f>IF(Table1[[#This Row],[Host]]="Mastomys natalensis", "Mn", IF(Table1[[#This Row],[Host]]="Homo Sapiens","Human","PROBLEMMEMEMMEMEMEMM"))</f>
        <v>Mn</v>
      </c>
      <c r="AK146" s="2" t="s">
        <v>53</v>
      </c>
      <c r="AL146" s="5">
        <v>38399</v>
      </c>
      <c r="AM146" s="6" t="s">
        <v>1072</v>
      </c>
      <c r="AO146" s="2" t="s">
        <v>429</v>
      </c>
    </row>
    <row r="147" spans="1:41" x14ac:dyDescent="0.3">
      <c r="A147" s="2">
        <v>184</v>
      </c>
      <c r="B147" s="2" t="str">
        <f>_xlfn.CONCAT(Table1[[#This Row],[Acession_no_.1]],"|",Table1[[#This Row],[Strain name]],"|",Table1[[#This Row],[host_simple]],"|",Table1[[#This Row],[Country]],"|",Table1[[#This Row],[date_text]])</f>
        <v>MN123653|DGD-35|Mn|Guinea|2005-02-17</v>
      </c>
      <c r="C147" s="2" t="s">
        <v>1312</v>
      </c>
      <c r="D147" s="2" t="str">
        <f>IF(ISNUMBER(MATCH(B147,finalSelection!$A$1:$A$497,0)),"yes","no")</f>
        <v>no</v>
      </c>
      <c r="E147" s="2" t="s">
        <v>912</v>
      </c>
      <c r="F147" s="2" t="s">
        <v>430</v>
      </c>
      <c r="H147" s="2" t="s">
        <v>431</v>
      </c>
      <c r="I147" s="2" t="s">
        <v>36</v>
      </c>
      <c r="J147" s="2" t="s">
        <v>37</v>
      </c>
      <c r="K147" s="2" t="s">
        <v>38</v>
      </c>
      <c r="L147" s="2" t="s">
        <v>37</v>
      </c>
      <c r="M147" s="2" t="e">
        <f>VLOOKUP(C147,seqConcatenated!$A$1:$B$124,2, FALSE)</f>
        <v>#N/A</v>
      </c>
      <c r="N147" s="2" t="str">
        <f>IF(ISNA(Table1[[#This Row],[Column2]]),Table1[[#This Row],[comments2]], IF(O147="NA",M147,_xlfn.CONCAT(O147,"--",M147)))</f>
        <v>NA</v>
      </c>
      <c r="O147" s="2" t="s">
        <v>39</v>
      </c>
      <c r="P147" s="2" t="s">
        <v>150</v>
      </c>
      <c r="Q147" s="2" t="s">
        <v>151</v>
      </c>
      <c r="S147" s="2" t="s">
        <v>42</v>
      </c>
      <c r="T147" s="2" t="s">
        <v>43</v>
      </c>
      <c r="U147" s="2" t="s">
        <v>44</v>
      </c>
      <c r="V147" s="2" t="s">
        <v>45</v>
      </c>
      <c r="W147" s="2">
        <v>889</v>
      </c>
      <c r="X147" s="2" t="s">
        <v>46</v>
      </c>
      <c r="Y147" s="2" t="s">
        <v>47</v>
      </c>
      <c r="AA147" s="2" t="s">
        <v>48</v>
      </c>
      <c r="AB147" s="2">
        <v>1</v>
      </c>
      <c r="AC147" s="2" t="s">
        <v>422</v>
      </c>
      <c r="AD147" s="2" t="s">
        <v>50</v>
      </c>
      <c r="AE147" s="4">
        <v>8.3388109999999998</v>
      </c>
      <c r="AF147" s="4">
        <v>-10.543925</v>
      </c>
      <c r="AG147" s="2" t="s">
        <v>51</v>
      </c>
      <c r="AI147" s="2" t="s">
        <v>52</v>
      </c>
      <c r="AJ147" s="2" t="str">
        <f>IF(Table1[[#This Row],[Host]]="Mastomys natalensis", "Mn", IF(Table1[[#This Row],[Host]]="Homo Sapiens","Human","PROBLEMMEMEMMEMEMEMM"))</f>
        <v>Mn</v>
      </c>
      <c r="AK147" s="2" t="s">
        <v>53</v>
      </c>
      <c r="AL147" s="5">
        <v>38400</v>
      </c>
      <c r="AM147" s="6" t="s">
        <v>1071</v>
      </c>
      <c r="AO147" s="2" t="s">
        <v>432</v>
      </c>
    </row>
    <row r="148" spans="1:41" x14ac:dyDescent="0.3">
      <c r="A148" s="2">
        <v>182</v>
      </c>
      <c r="B148" s="2" t="str">
        <f>_xlfn.CONCAT(Table1[[#This Row],[Acession_no_.1]],"|",Table1[[#This Row],[Strain name]],"|",Table1[[#This Row],[host_simple]],"|",Table1[[#This Row],[Country]],"|",Table1[[#This Row],[date_text]])</f>
        <v>MN123651|DGD-4|Mn|Guinea|2005-02-16</v>
      </c>
      <c r="C148" s="2" t="s">
        <v>1313</v>
      </c>
      <c r="D148" s="2" t="str">
        <f>IF(ISNUMBER(MATCH(B148,finalSelection!$A$1:$A$497,0)),"yes","no")</f>
        <v>no</v>
      </c>
      <c r="E148" s="2" t="s">
        <v>913</v>
      </c>
      <c r="F148" s="2" t="s">
        <v>433</v>
      </c>
      <c r="H148" s="2" t="s">
        <v>434</v>
      </c>
      <c r="I148" s="2" t="s">
        <v>36</v>
      </c>
      <c r="J148" s="2" t="s">
        <v>37</v>
      </c>
      <c r="K148" s="2" t="s">
        <v>38</v>
      </c>
      <c r="L148" s="2" t="s">
        <v>37</v>
      </c>
      <c r="M148" s="2" t="e">
        <f>VLOOKUP(C148,seqConcatenated!$A$1:$B$124,2, FALSE)</f>
        <v>#N/A</v>
      </c>
      <c r="N148" s="2" t="str">
        <f>IF(ISNA(Table1[[#This Row],[Column2]]),Table1[[#This Row],[comments2]], IF(O148="NA",M148,_xlfn.CONCAT(O148,"--",M148)))</f>
        <v>NA</v>
      </c>
      <c r="O148" s="2" t="s">
        <v>39</v>
      </c>
      <c r="P148" s="2" t="s">
        <v>150</v>
      </c>
      <c r="Q148" s="2" t="s">
        <v>151</v>
      </c>
      <c r="S148" s="2" t="s">
        <v>42</v>
      </c>
      <c r="T148" s="2" t="s">
        <v>43</v>
      </c>
      <c r="U148" s="2" t="s">
        <v>44</v>
      </c>
      <c r="V148" s="2" t="s">
        <v>45</v>
      </c>
      <c r="W148" s="2">
        <v>889</v>
      </c>
      <c r="X148" s="2" t="s">
        <v>46</v>
      </c>
      <c r="Y148" s="2" t="s">
        <v>47</v>
      </c>
      <c r="AA148" s="2" t="s">
        <v>48</v>
      </c>
      <c r="AB148" s="2">
        <v>1</v>
      </c>
      <c r="AC148" s="2" t="s">
        <v>422</v>
      </c>
      <c r="AD148" s="2" t="s">
        <v>50</v>
      </c>
      <c r="AE148" s="4">
        <v>8.3388109999999998</v>
      </c>
      <c r="AF148" s="4">
        <v>-10.543925</v>
      </c>
      <c r="AG148" s="2" t="s">
        <v>51</v>
      </c>
      <c r="AI148" s="2" t="s">
        <v>52</v>
      </c>
      <c r="AJ148" s="2" t="str">
        <f>IF(Table1[[#This Row],[Host]]="Mastomys natalensis", "Mn", IF(Table1[[#This Row],[Host]]="Homo Sapiens","Human","PROBLEMMEMEMMEMEMEMM"))</f>
        <v>Mn</v>
      </c>
      <c r="AK148" s="2" t="s">
        <v>53</v>
      </c>
      <c r="AL148" s="5">
        <v>38399</v>
      </c>
      <c r="AM148" s="6" t="s">
        <v>1072</v>
      </c>
      <c r="AO148" s="2" t="s">
        <v>435</v>
      </c>
    </row>
    <row r="149" spans="1:41" x14ac:dyDescent="0.3">
      <c r="A149" s="2">
        <v>185</v>
      </c>
      <c r="B149" s="2" t="str">
        <f>_xlfn.CONCAT(Table1[[#This Row],[Acession_no_.1]],"|",Table1[[#This Row],[Strain name]],"|",Table1[[#This Row],[host_simple]],"|",Table1[[#This Row],[Country]],"|",Table1[[#This Row],[date_text]])</f>
        <v>MN123654|DGD-87|Mn|Guinea|2005-02-17</v>
      </c>
      <c r="C149" s="2" t="s">
        <v>1314</v>
      </c>
      <c r="D149" s="2" t="str">
        <f>IF(ISNUMBER(MATCH(B149,finalSelection!$A$1:$A$497,0)),"yes","no")</f>
        <v>no</v>
      </c>
      <c r="E149" s="2" t="s">
        <v>914</v>
      </c>
      <c r="F149" s="2" t="s">
        <v>436</v>
      </c>
      <c r="H149" s="2" t="s">
        <v>437</v>
      </c>
      <c r="I149" s="2" t="s">
        <v>36</v>
      </c>
      <c r="J149" s="2" t="s">
        <v>37</v>
      </c>
      <c r="K149" s="2" t="s">
        <v>38</v>
      </c>
      <c r="L149" s="2" t="s">
        <v>37</v>
      </c>
      <c r="M149" s="2" t="e">
        <f>VLOOKUP(C149,seqConcatenated!$A$1:$B$124,2, FALSE)</f>
        <v>#N/A</v>
      </c>
      <c r="N149" s="2" t="str">
        <f>IF(ISNA(Table1[[#This Row],[Column2]]),Table1[[#This Row],[comments2]], IF(O149="NA",M149,_xlfn.CONCAT(O149,"--",M149)))</f>
        <v>NA</v>
      </c>
      <c r="O149" s="2" t="s">
        <v>39</v>
      </c>
      <c r="P149" s="2" t="s">
        <v>150</v>
      </c>
      <c r="Q149" s="2" t="s">
        <v>151</v>
      </c>
      <c r="S149" s="2" t="s">
        <v>42</v>
      </c>
      <c r="T149" s="2" t="s">
        <v>43</v>
      </c>
      <c r="U149" s="2" t="s">
        <v>44</v>
      </c>
      <c r="V149" s="2" t="s">
        <v>45</v>
      </c>
      <c r="W149" s="2">
        <v>889</v>
      </c>
      <c r="X149" s="2" t="s">
        <v>46</v>
      </c>
      <c r="Y149" s="2" t="s">
        <v>47</v>
      </c>
      <c r="AA149" s="2" t="s">
        <v>48</v>
      </c>
      <c r="AB149" s="2">
        <v>1</v>
      </c>
      <c r="AC149" s="2" t="s">
        <v>422</v>
      </c>
      <c r="AD149" s="2" t="s">
        <v>50</v>
      </c>
      <c r="AE149" s="4">
        <v>8.3388109999999998</v>
      </c>
      <c r="AF149" s="4">
        <v>-10.543925</v>
      </c>
      <c r="AG149" s="2" t="s">
        <v>51</v>
      </c>
      <c r="AI149" s="2" t="s">
        <v>52</v>
      </c>
      <c r="AJ149" s="2" t="str">
        <f>IF(Table1[[#This Row],[Host]]="Mastomys natalensis", "Mn", IF(Table1[[#This Row],[Host]]="Homo Sapiens","Human","PROBLEMMEMEMMEMEMEMM"))</f>
        <v>Mn</v>
      </c>
      <c r="AK149" s="2" t="s">
        <v>53</v>
      </c>
      <c r="AL149" s="5">
        <v>38400</v>
      </c>
      <c r="AM149" s="6" t="s">
        <v>1071</v>
      </c>
      <c r="AO149" s="2" t="s">
        <v>438</v>
      </c>
    </row>
    <row r="150" spans="1:41" x14ac:dyDescent="0.3">
      <c r="A150" s="2">
        <v>206</v>
      </c>
      <c r="B150" s="2" t="str">
        <f>_xlfn.CONCAT(Table1[[#This Row],[Acession_no_.1]],"|",Table1[[#This Row],[Strain name]],"|",Table1[[#This Row],[host_simple]],"|",Table1[[#This Row],[Country]],"|",Table1[[#This Row],[date_text]])</f>
        <v>MN123675|Kho10|Mn|Guinea|2013-11-24</v>
      </c>
      <c r="C150" s="2" t="s">
        <v>1315</v>
      </c>
      <c r="D150" s="2" t="str">
        <f>IF(ISNUMBER(MATCH(B150,finalSelection!$A$1:$A$497,0)),"yes","no")</f>
        <v>yes</v>
      </c>
      <c r="E150" s="2" t="s">
        <v>915</v>
      </c>
      <c r="F150" s="2" t="s">
        <v>439</v>
      </c>
      <c r="H150" s="2" t="s">
        <v>440</v>
      </c>
      <c r="I150" s="2" t="s">
        <v>36</v>
      </c>
      <c r="J150" s="2" t="s">
        <v>37</v>
      </c>
      <c r="K150" s="2" t="s">
        <v>38</v>
      </c>
      <c r="L150" s="2" t="s">
        <v>37</v>
      </c>
      <c r="M150" s="2" t="str">
        <f>VLOOKUP(C150,seqConcatenated!$A$1:$B$124,2, FALSE)</f>
        <v>MN123675 and KT833193 are merged</v>
      </c>
      <c r="N150" s="2" t="str">
        <f>IF(ISNA(Table1[[#This Row],[Column2]]),Table1[[#This Row],[comments2]], IF(O150="NA",M150,_xlfn.CONCAT(O150,"--",M150)))</f>
        <v>MN123675 and KT833193 are merged</v>
      </c>
      <c r="O150" s="2" t="s">
        <v>39</v>
      </c>
      <c r="P150" s="2" t="s">
        <v>150</v>
      </c>
      <c r="Q150" s="2" t="s">
        <v>151</v>
      </c>
      <c r="S150" s="2" t="s">
        <v>42</v>
      </c>
      <c r="T150" s="2" t="s">
        <v>43</v>
      </c>
      <c r="U150" s="2" t="s">
        <v>44</v>
      </c>
      <c r="V150" s="2" t="s">
        <v>45</v>
      </c>
      <c r="W150" s="2">
        <v>888</v>
      </c>
      <c r="X150" s="2" t="s">
        <v>46</v>
      </c>
      <c r="Y150" s="2" t="s">
        <v>47</v>
      </c>
      <c r="AA150" s="2" t="s">
        <v>48</v>
      </c>
      <c r="AB150" s="2">
        <v>1</v>
      </c>
      <c r="AC150" s="2" t="s">
        <v>441</v>
      </c>
      <c r="AD150" s="2" t="s">
        <v>50</v>
      </c>
      <c r="AE150" s="4">
        <v>9.9422666999999993</v>
      </c>
      <c r="AF150" s="4">
        <v>-10.893033300000001</v>
      </c>
      <c r="AG150" s="2" t="s">
        <v>51</v>
      </c>
      <c r="AI150" s="2" t="s">
        <v>52</v>
      </c>
      <c r="AJ150" s="2" t="str">
        <f>IF(Table1[[#This Row],[Host]]="Mastomys natalensis", "Mn", IF(Table1[[#This Row],[Host]]="Homo Sapiens","Human","PROBLEMMEMEMMEMEMEMM"))</f>
        <v>Mn</v>
      </c>
      <c r="AK150" s="2" t="s">
        <v>53</v>
      </c>
      <c r="AL150" s="5">
        <v>41602</v>
      </c>
      <c r="AM150" s="6" t="s">
        <v>1073</v>
      </c>
      <c r="AO150" s="2" t="s">
        <v>442</v>
      </c>
    </row>
    <row r="151" spans="1:41" x14ac:dyDescent="0.3">
      <c r="A151" s="2">
        <v>289</v>
      </c>
      <c r="B151" s="2" t="str">
        <f>_xlfn.CONCAT(Table1[[#This Row],[Acession_no_.1]],"|",Table1[[#This Row],[Strain name]],"|",Table1[[#This Row],[host_simple]],"|",Table1[[#This Row],[Country]],"|",Table1[[#This Row],[date_text]])</f>
        <v>KT833193|Kho10|Mn|Guinea|2013-11-24</v>
      </c>
      <c r="C151" s="2" t="s">
        <v>1315</v>
      </c>
      <c r="D151" s="2" t="str">
        <f>IF(ISNUMBER(MATCH(B151,finalSelection!$A$1:$A$497,0)),"yes","no")</f>
        <v>no</v>
      </c>
      <c r="E151" s="2" t="s">
        <v>916</v>
      </c>
      <c r="F151" s="2" t="s">
        <v>443</v>
      </c>
      <c r="H151" s="2" t="s">
        <v>440</v>
      </c>
      <c r="I151" s="2" t="s">
        <v>56</v>
      </c>
      <c r="J151" s="2" t="s">
        <v>154</v>
      </c>
      <c r="K151" s="2" t="s">
        <v>38</v>
      </c>
      <c r="L151" s="2" t="s">
        <v>37</v>
      </c>
      <c r="M151" s="2" t="str">
        <f>VLOOKUP(C151,seqConcatenated!$A$1:$B$124,2, FALSE)</f>
        <v>MN123675 and KT833193 are merged</v>
      </c>
      <c r="N151" s="2" t="str">
        <f>IF(ISNA(Table1[[#This Row],[Column2]]),Table1[[#This Row],[comments2]], IF(O151="NA",M151,_xlfn.CONCAT(O151,"--",M151)))</f>
        <v>MN123675 and KT833193 are merged</v>
      </c>
      <c r="O151" s="2" t="s">
        <v>39</v>
      </c>
      <c r="P151" s="2" t="s">
        <v>155</v>
      </c>
      <c r="Q151" s="2" t="s">
        <v>156</v>
      </c>
      <c r="S151" s="2" t="s">
        <v>42</v>
      </c>
      <c r="T151" s="2" t="s">
        <v>43</v>
      </c>
      <c r="U151" s="2" t="s">
        <v>44</v>
      </c>
      <c r="V151" s="2" t="s">
        <v>45</v>
      </c>
      <c r="W151" s="2">
        <v>754</v>
      </c>
      <c r="X151" s="2" t="s">
        <v>46</v>
      </c>
      <c r="Y151" s="2" t="s">
        <v>47</v>
      </c>
      <c r="AA151" s="2" t="s">
        <v>48</v>
      </c>
      <c r="AB151" s="2">
        <v>1</v>
      </c>
      <c r="AC151" s="2" t="s">
        <v>441</v>
      </c>
      <c r="AD151" s="2" t="s">
        <v>50</v>
      </c>
      <c r="AE151" s="4">
        <v>9.9422666999999993</v>
      </c>
      <c r="AF151" s="4">
        <v>-10.893033300000001</v>
      </c>
      <c r="AG151" s="2" t="s">
        <v>51</v>
      </c>
      <c r="AI151" s="2" t="s">
        <v>52</v>
      </c>
      <c r="AJ151" s="2" t="str">
        <f>IF(Table1[[#This Row],[Host]]="Mastomys natalensis", "Mn", IF(Table1[[#This Row],[Host]]="Homo Sapiens","Human","PROBLEMMEMEMMEMEMEMM"))</f>
        <v>Mn</v>
      </c>
      <c r="AK151" s="2" t="s">
        <v>53</v>
      </c>
      <c r="AL151" s="5">
        <v>41602</v>
      </c>
      <c r="AM151" s="6" t="s">
        <v>1073</v>
      </c>
      <c r="AO151" s="2" t="s">
        <v>444</v>
      </c>
    </row>
    <row r="152" spans="1:41" x14ac:dyDescent="0.3">
      <c r="A152" s="2">
        <v>207</v>
      </c>
      <c r="B152" s="2" t="str">
        <f>_xlfn.CONCAT(Table1[[#This Row],[Acession_no_.1]],"|",Table1[[#This Row],[Strain name]],"|",Table1[[#This Row],[host_simple]],"|",Table1[[#This Row],[Country]],"|",Table1[[#This Row],[date_text]])</f>
        <v>MN123676|Kho29|Mn|Guinea|2013-11-26</v>
      </c>
      <c r="C152" s="2" t="s">
        <v>1316</v>
      </c>
      <c r="D152" s="2" t="str">
        <f>IF(ISNUMBER(MATCH(B152,finalSelection!$A$1:$A$497,0)),"yes","no")</f>
        <v>yes</v>
      </c>
      <c r="E152" s="2" t="s">
        <v>917</v>
      </c>
      <c r="F152" s="2" t="s">
        <v>445</v>
      </c>
      <c r="H152" s="2" t="s">
        <v>446</v>
      </c>
      <c r="I152" s="2" t="s">
        <v>36</v>
      </c>
      <c r="J152" s="2" t="s">
        <v>37</v>
      </c>
      <c r="K152" s="2" t="s">
        <v>38</v>
      </c>
      <c r="L152" s="2" t="s">
        <v>37</v>
      </c>
      <c r="M152" s="2" t="str">
        <f>VLOOKUP(C152,seqConcatenated!$A$1:$B$124,2, FALSE)</f>
        <v>MN123676 and KT833194 are merged</v>
      </c>
      <c r="N152" s="2" t="str">
        <f>IF(ISNA(Table1[[#This Row],[Column2]]),Table1[[#This Row],[comments2]], IF(O152="NA",M152,_xlfn.CONCAT(O152,"--",M152)))</f>
        <v>MN123676 and KT833194 are merged</v>
      </c>
      <c r="O152" s="2" t="s">
        <v>39</v>
      </c>
      <c r="P152" s="2" t="s">
        <v>150</v>
      </c>
      <c r="Q152" s="2" t="s">
        <v>151</v>
      </c>
      <c r="S152" s="2" t="s">
        <v>42</v>
      </c>
      <c r="T152" s="2" t="s">
        <v>43</v>
      </c>
      <c r="U152" s="2" t="s">
        <v>44</v>
      </c>
      <c r="V152" s="2" t="s">
        <v>45</v>
      </c>
      <c r="W152" s="2">
        <v>888</v>
      </c>
      <c r="X152" s="2" t="s">
        <v>46</v>
      </c>
      <c r="Y152" s="2" t="s">
        <v>47</v>
      </c>
      <c r="AA152" s="2" t="s">
        <v>48</v>
      </c>
      <c r="AB152" s="2">
        <v>1</v>
      </c>
      <c r="AC152" s="2" t="s">
        <v>441</v>
      </c>
      <c r="AD152" s="2" t="s">
        <v>50</v>
      </c>
      <c r="AE152" s="4">
        <v>9.9422666999999993</v>
      </c>
      <c r="AF152" s="4">
        <v>-10.893033300000001</v>
      </c>
      <c r="AG152" s="2" t="s">
        <v>51</v>
      </c>
      <c r="AI152" s="2" t="s">
        <v>52</v>
      </c>
      <c r="AJ152" s="2" t="str">
        <f>IF(Table1[[#This Row],[Host]]="Mastomys natalensis", "Mn", IF(Table1[[#This Row],[Host]]="Homo Sapiens","Human","PROBLEMMEMEMMEMEMEMM"))</f>
        <v>Mn</v>
      </c>
      <c r="AK152" s="2" t="s">
        <v>53</v>
      </c>
      <c r="AL152" s="5">
        <v>41604</v>
      </c>
      <c r="AM152" s="6" t="s">
        <v>1074</v>
      </c>
      <c r="AO152" s="2" t="s">
        <v>447</v>
      </c>
    </row>
    <row r="153" spans="1:41" x14ac:dyDescent="0.3">
      <c r="A153" s="2">
        <v>290</v>
      </c>
      <c r="B153" s="2" t="str">
        <f>_xlfn.CONCAT(Table1[[#This Row],[Acession_no_.1]],"|",Table1[[#This Row],[Strain name]],"|",Table1[[#This Row],[host_simple]],"|",Table1[[#This Row],[Country]],"|",Table1[[#This Row],[date_text]])</f>
        <v>KT833194|Kho29|Mn|Guinea|2013-11-26</v>
      </c>
      <c r="C153" s="2" t="s">
        <v>1316</v>
      </c>
      <c r="D153" s="2" t="str">
        <f>IF(ISNUMBER(MATCH(B153,finalSelection!$A$1:$A$497,0)),"yes","no")</f>
        <v>no</v>
      </c>
      <c r="E153" s="2" t="s">
        <v>918</v>
      </c>
      <c r="F153" s="2" t="s">
        <v>448</v>
      </c>
      <c r="H153" s="2" t="s">
        <v>446</v>
      </c>
      <c r="I153" s="2" t="s">
        <v>56</v>
      </c>
      <c r="J153" s="2" t="s">
        <v>154</v>
      </c>
      <c r="K153" s="2" t="s">
        <v>38</v>
      </c>
      <c r="L153" s="2" t="s">
        <v>37</v>
      </c>
      <c r="M153" s="2" t="str">
        <f>VLOOKUP(C153,seqConcatenated!$A$1:$B$124,2, FALSE)</f>
        <v>MN123676 and KT833194 are merged</v>
      </c>
      <c r="N153" s="2" t="str">
        <f>IF(ISNA(Table1[[#This Row],[Column2]]),Table1[[#This Row],[comments2]], IF(O153="NA",M153,_xlfn.CONCAT(O153,"--",M153)))</f>
        <v>MN123676 and KT833194 are merged</v>
      </c>
      <c r="O153" s="2" t="s">
        <v>39</v>
      </c>
      <c r="P153" s="2" t="s">
        <v>155</v>
      </c>
      <c r="Q153" s="2" t="s">
        <v>156</v>
      </c>
      <c r="S153" s="2" t="s">
        <v>42</v>
      </c>
      <c r="T153" s="2" t="s">
        <v>43</v>
      </c>
      <c r="U153" s="2" t="s">
        <v>44</v>
      </c>
      <c r="V153" s="2" t="s">
        <v>45</v>
      </c>
      <c r="W153" s="2">
        <v>754</v>
      </c>
      <c r="X153" s="2" t="s">
        <v>46</v>
      </c>
      <c r="Y153" s="2" t="s">
        <v>47</v>
      </c>
      <c r="AA153" s="2" t="s">
        <v>48</v>
      </c>
      <c r="AB153" s="2">
        <v>1</v>
      </c>
      <c r="AC153" s="2" t="s">
        <v>441</v>
      </c>
      <c r="AD153" s="2" t="s">
        <v>50</v>
      </c>
      <c r="AE153" s="4">
        <v>9.9422666999999993</v>
      </c>
      <c r="AF153" s="4">
        <v>-10.893033300000001</v>
      </c>
      <c r="AG153" s="2" t="s">
        <v>51</v>
      </c>
      <c r="AI153" s="2" t="s">
        <v>52</v>
      </c>
      <c r="AJ153" s="2" t="str">
        <f>IF(Table1[[#This Row],[Host]]="Mastomys natalensis", "Mn", IF(Table1[[#This Row],[Host]]="Homo Sapiens","Human","PROBLEMMEMEMMEMEMEMM"))</f>
        <v>Mn</v>
      </c>
      <c r="AK153" s="2" t="s">
        <v>53</v>
      </c>
      <c r="AL153" s="5">
        <v>41604</v>
      </c>
      <c r="AM153" s="6" t="s">
        <v>1074</v>
      </c>
      <c r="AO153" s="2" t="s">
        <v>449</v>
      </c>
    </row>
    <row r="154" spans="1:41" x14ac:dyDescent="0.3">
      <c r="A154" s="2">
        <v>208</v>
      </c>
      <c r="B154" s="2" t="str">
        <f>_xlfn.CONCAT(Table1[[#This Row],[Acession_no_.1]],"|",Table1[[#This Row],[Strain name]],"|",Table1[[#This Row],[host_simple]],"|",Table1[[#This Row],[Country]],"|",Table1[[#This Row],[date_text]])</f>
        <v>MN123677|Kho30|Mn|Guinea|2013-11-26</v>
      </c>
      <c r="C154" s="2" t="s">
        <v>1317</v>
      </c>
      <c r="D154" s="2" t="str">
        <f>IF(ISNUMBER(MATCH(B154,finalSelection!$A$1:$A$497,0)),"yes","no")</f>
        <v>yes</v>
      </c>
      <c r="E154" s="2" t="s">
        <v>919</v>
      </c>
      <c r="F154" s="2" t="s">
        <v>450</v>
      </c>
      <c r="H154" s="2" t="s">
        <v>451</v>
      </c>
      <c r="I154" s="2" t="s">
        <v>36</v>
      </c>
      <c r="J154" s="2" t="s">
        <v>37</v>
      </c>
      <c r="K154" s="2" t="s">
        <v>38</v>
      </c>
      <c r="L154" s="2" t="s">
        <v>37</v>
      </c>
      <c r="M154" s="2" t="str">
        <f>VLOOKUP(C154,seqConcatenated!$A$1:$B$124,2, FALSE)</f>
        <v>MN123677 and KT833195 are merged</v>
      </c>
      <c r="N154" s="2" t="str">
        <f>IF(ISNA(Table1[[#This Row],[Column2]]),Table1[[#This Row],[comments2]], IF(O154="NA",M154,_xlfn.CONCAT(O154,"--",M154)))</f>
        <v>MN123677 and KT833195 are merged</v>
      </c>
      <c r="O154" s="2" t="s">
        <v>39</v>
      </c>
      <c r="P154" s="2" t="s">
        <v>150</v>
      </c>
      <c r="Q154" s="2" t="s">
        <v>151</v>
      </c>
      <c r="S154" s="2" t="s">
        <v>42</v>
      </c>
      <c r="T154" s="2" t="s">
        <v>43</v>
      </c>
      <c r="U154" s="2" t="s">
        <v>44</v>
      </c>
      <c r="V154" s="2" t="s">
        <v>45</v>
      </c>
      <c r="W154" s="2">
        <v>888</v>
      </c>
      <c r="X154" s="2" t="s">
        <v>46</v>
      </c>
      <c r="Y154" s="2" t="s">
        <v>47</v>
      </c>
      <c r="AA154" s="2" t="s">
        <v>48</v>
      </c>
      <c r="AB154" s="2">
        <v>1</v>
      </c>
      <c r="AC154" s="2" t="s">
        <v>441</v>
      </c>
      <c r="AD154" s="2" t="s">
        <v>50</v>
      </c>
      <c r="AE154" s="4">
        <v>9.9422666999999993</v>
      </c>
      <c r="AF154" s="4">
        <v>-10.893033300000001</v>
      </c>
      <c r="AG154" s="2" t="s">
        <v>51</v>
      </c>
      <c r="AI154" s="2" t="s">
        <v>52</v>
      </c>
      <c r="AJ154" s="2" t="str">
        <f>IF(Table1[[#This Row],[Host]]="Mastomys natalensis", "Mn", IF(Table1[[#This Row],[Host]]="Homo Sapiens","Human","PROBLEMMEMEMMEMEMEMM"))</f>
        <v>Mn</v>
      </c>
      <c r="AK154" s="2" t="s">
        <v>53</v>
      </c>
      <c r="AL154" s="5">
        <v>41604</v>
      </c>
      <c r="AM154" s="6" t="s">
        <v>1074</v>
      </c>
      <c r="AO154" s="2" t="s">
        <v>452</v>
      </c>
    </row>
    <row r="155" spans="1:41" x14ac:dyDescent="0.3">
      <c r="A155" s="2">
        <v>291</v>
      </c>
      <c r="B155" s="2" t="str">
        <f>_xlfn.CONCAT(Table1[[#This Row],[Acession_no_.1]],"|",Table1[[#This Row],[Strain name]],"|",Table1[[#This Row],[host_simple]],"|",Table1[[#This Row],[Country]],"|",Table1[[#This Row],[date_text]])</f>
        <v>KT833195|Kho30|Mn|Guinea|2013-11-26</v>
      </c>
      <c r="C155" s="2" t="s">
        <v>1317</v>
      </c>
      <c r="D155" s="2" t="str">
        <f>IF(ISNUMBER(MATCH(B155,finalSelection!$A$1:$A$497,0)),"yes","no")</f>
        <v>no</v>
      </c>
      <c r="E155" s="2" t="s">
        <v>920</v>
      </c>
      <c r="F155" s="2" t="s">
        <v>453</v>
      </c>
      <c r="H155" s="2" t="s">
        <v>451</v>
      </c>
      <c r="I155" s="2" t="s">
        <v>56</v>
      </c>
      <c r="J155" s="2" t="s">
        <v>279</v>
      </c>
      <c r="K155" s="2" t="s">
        <v>38</v>
      </c>
      <c r="L155" s="2" t="s">
        <v>37</v>
      </c>
      <c r="M155" s="2" t="str">
        <f>VLOOKUP(C155,seqConcatenated!$A$1:$B$124,2, FALSE)</f>
        <v>MN123677 and KT833195 are merged</v>
      </c>
      <c r="N155" s="2" t="str">
        <f>IF(ISNA(Table1[[#This Row],[Column2]]),Table1[[#This Row],[comments2]], IF(O155="NA",M155,_xlfn.CONCAT(O155,"--",M155)))</f>
        <v>MN123677 and KT833195 are merged</v>
      </c>
      <c r="O155" s="2" t="s">
        <v>39</v>
      </c>
      <c r="P155" s="2" t="s">
        <v>155</v>
      </c>
      <c r="Q155" s="2" t="s">
        <v>156</v>
      </c>
      <c r="S155" s="2" t="s">
        <v>42</v>
      </c>
      <c r="T155" s="2" t="s">
        <v>43</v>
      </c>
      <c r="U155" s="2" t="s">
        <v>44</v>
      </c>
      <c r="V155" s="2" t="s">
        <v>45</v>
      </c>
      <c r="W155" s="2">
        <v>754</v>
      </c>
      <c r="X155" s="2" t="s">
        <v>46</v>
      </c>
      <c r="Y155" s="2" t="s">
        <v>47</v>
      </c>
      <c r="AA155" s="2" t="s">
        <v>48</v>
      </c>
      <c r="AB155" s="2">
        <v>1</v>
      </c>
      <c r="AC155" s="2" t="s">
        <v>441</v>
      </c>
      <c r="AD155" s="2" t="s">
        <v>50</v>
      </c>
      <c r="AE155" s="4">
        <v>9.9422666999999993</v>
      </c>
      <c r="AF155" s="4">
        <v>-10.893033300000001</v>
      </c>
      <c r="AG155" s="2" t="s">
        <v>51</v>
      </c>
      <c r="AI155" s="2" t="s">
        <v>52</v>
      </c>
      <c r="AJ155" s="2" t="str">
        <f>IF(Table1[[#This Row],[Host]]="Mastomys natalensis", "Mn", IF(Table1[[#This Row],[Host]]="Homo Sapiens","Human","PROBLEMMEMEMMEMEMEMM"))</f>
        <v>Mn</v>
      </c>
      <c r="AK155" s="2" t="s">
        <v>53</v>
      </c>
      <c r="AL155" s="5">
        <v>41604</v>
      </c>
      <c r="AM155" s="6" t="s">
        <v>1074</v>
      </c>
      <c r="AO155" s="2" t="s">
        <v>454</v>
      </c>
    </row>
    <row r="156" spans="1:41" x14ac:dyDescent="0.3">
      <c r="A156" s="2">
        <v>1</v>
      </c>
      <c r="B156" s="2" t="str">
        <f>_xlfn.CONCAT(Table1[[#This Row],[Acession_no_.1]],"|",Table1[[#This Row],[Strain name]],"|",Table1[[#This Row],[host_simple]],"|",Table1[[#This Row],[Country]],"|",Table1[[#This Row],[date_text]])</f>
        <v>MT861993|LASV/GUI/KIS-2019|Human|Guinea|2019-01-28</v>
      </c>
      <c r="C156" s="2" t="s">
        <v>1108</v>
      </c>
      <c r="D156" s="2" t="str">
        <f>IF(ISNUMBER(MATCH(B156,finalSelection!$A$1:$A$497,0)),"yes","no")</f>
        <v>no</v>
      </c>
      <c r="E156" s="2" t="s">
        <v>921</v>
      </c>
      <c r="F156" s="2" t="s">
        <v>455</v>
      </c>
      <c r="H156" s="2" t="s">
        <v>456</v>
      </c>
      <c r="I156" s="2" t="s">
        <v>457</v>
      </c>
      <c r="J156" s="2" t="s">
        <v>37</v>
      </c>
      <c r="K156" s="2" t="s">
        <v>38</v>
      </c>
      <c r="L156" s="2" t="s">
        <v>37</v>
      </c>
      <c r="M156" s="2" t="e">
        <f>VLOOKUP(C156,seqConcatenated!$A$1:$B$124,2, FALSE)</f>
        <v>#N/A</v>
      </c>
      <c r="N156" s="2" t="str">
        <f>IF(ISNA(Table1[[#This Row],[Column2]]),Table1[[#This Row],[comments2]], IF(O156="NA",M156,_xlfn.CONCAT(O156,"--",M156)))</f>
        <v>NA</v>
      </c>
      <c r="O156" s="2" t="s">
        <v>39</v>
      </c>
      <c r="P156" s="2" t="s">
        <v>458</v>
      </c>
      <c r="Q156" s="2" t="s">
        <v>459</v>
      </c>
      <c r="R156" s="2" t="s">
        <v>456</v>
      </c>
      <c r="S156" s="2" t="s">
        <v>42</v>
      </c>
      <c r="T156" s="2" t="s">
        <v>43</v>
      </c>
      <c r="U156" s="2" t="s">
        <v>44</v>
      </c>
      <c r="V156" s="2" t="s">
        <v>45</v>
      </c>
      <c r="W156" s="2">
        <v>6833</v>
      </c>
      <c r="X156" s="2" t="s">
        <v>46</v>
      </c>
      <c r="Y156" s="2" t="s">
        <v>47</v>
      </c>
      <c r="AA156" s="2" t="s">
        <v>460</v>
      </c>
      <c r="AC156" s="2" t="s">
        <v>461</v>
      </c>
      <c r="AD156" s="2" t="s">
        <v>50</v>
      </c>
      <c r="AE156" s="4">
        <v>9.1920850000000005</v>
      </c>
      <c r="AF156" s="4">
        <v>-10.113944999999999</v>
      </c>
      <c r="AG156" s="2" t="s">
        <v>51</v>
      </c>
      <c r="AI156" s="2" t="s">
        <v>462</v>
      </c>
      <c r="AJ156" s="2" t="str">
        <f>IF(Table1[[#This Row],[Host]]="Mastomys natalensis", "Mn", IF(Table1[[#This Row],[Host]]="Homo Sapiens","Human","PROBLEMMEMEMMEMEMEMM"))</f>
        <v>Human</v>
      </c>
      <c r="AK156" s="2" t="s">
        <v>53</v>
      </c>
      <c r="AL156" s="5">
        <v>43493</v>
      </c>
      <c r="AM156" s="6" t="s">
        <v>1075</v>
      </c>
      <c r="AO156" s="2" t="s">
        <v>463</v>
      </c>
    </row>
    <row r="157" spans="1:41" x14ac:dyDescent="0.3">
      <c r="A157" s="2">
        <v>2</v>
      </c>
      <c r="B157" s="2" t="str">
        <f>_xlfn.CONCAT(Table1[[#This Row],[Acession_no_.1]],"|",Table1[[#This Row],[Strain name]],"|",Table1[[#This Row],[host_simple]],"|",Table1[[#This Row],[Country]],"|",Table1[[#This Row],[date_text]])</f>
        <v>MT861994|LASV/GUI/KIS-2019|Human|Guinea|2019-01-28</v>
      </c>
      <c r="C157" s="2" t="s">
        <v>1108</v>
      </c>
      <c r="D157" s="2" t="str">
        <f>IF(ISNUMBER(MATCH(B157,finalSelection!$A$1:$A$497,0)),"yes","no")</f>
        <v>no</v>
      </c>
      <c r="E157" s="2" t="s">
        <v>922</v>
      </c>
      <c r="F157" s="2" t="s">
        <v>464</v>
      </c>
      <c r="H157" s="2" t="s">
        <v>456</v>
      </c>
      <c r="I157" s="2" t="s">
        <v>457</v>
      </c>
      <c r="J157" s="2" t="s">
        <v>37</v>
      </c>
      <c r="K157" s="2" t="s">
        <v>38</v>
      </c>
      <c r="L157" s="2" t="s">
        <v>37</v>
      </c>
      <c r="M157" s="2" t="e">
        <f>VLOOKUP(C157,seqConcatenated!$A$1:$B$124,2, FALSE)</f>
        <v>#N/A</v>
      </c>
      <c r="N157" s="2" t="str">
        <f>IF(ISNA(Table1[[#This Row],[Column2]]),Table1[[#This Row],[comments2]], IF(O157="NA",M157,_xlfn.CONCAT(O157,"--",M157)))</f>
        <v>NA</v>
      </c>
      <c r="O157" s="2" t="s">
        <v>39</v>
      </c>
      <c r="P157" s="2" t="s">
        <v>458</v>
      </c>
      <c r="Q157" s="2" t="s">
        <v>459</v>
      </c>
      <c r="R157" s="2" t="s">
        <v>456</v>
      </c>
      <c r="S157" s="2" t="s">
        <v>42</v>
      </c>
      <c r="T157" s="2" t="s">
        <v>43</v>
      </c>
      <c r="U157" s="2" t="s">
        <v>44</v>
      </c>
      <c r="V157" s="2" t="s">
        <v>45</v>
      </c>
      <c r="W157" s="2">
        <v>3401</v>
      </c>
      <c r="X157" s="2" t="s">
        <v>46</v>
      </c>
      <c r="Y157" s="2" t="s">
        <v>47</v>
      </c>
      <c r="AA157" s="2" t="s">
        <v>48</v>
      </c>
      <c r="AC157" s="2" t="s">
        <v>461</v>
      </c>
      <c r="AD157" s="2" t="s">
        <v>50</v>
      </c>
      <c r="AE157" s="4">
        <v>9.1920850000000005</v>
      </c>
      <c r="AF157" s="4">
        <v>-10.113944999999999</v>
      </c>
      <c r="AG157" s="2" t="s">
        <v>51</v>
      </c>
      <c r="AI157" s="2" t="s">
        <v>462</v>
      </c>
      <c r="AJ157" s="2" t="str">
        <f>IF(Table1[[#This Row],[Host]]="Mastomys natalensis", "Mn", IF(Table1[[#This Row],[Host]]="Homo Sapiens","Human","PROBLEMMEMEMMEMEMEMM"))</f>
        <v>Human</v>
      </c>
      <c r="AK157" s="2" t="s">
        <v>53</v>
      </c>
      <c r="AL157" s="5">
        <v>43493</v>
      </c>
      <c r="AM157" s="6" t="s">
        <v>1075</v>
      </c>
      <c r="AO157" s="2" t="s">
        <v>465</v>
      </c>
    </row>
    <row r="158" spans="1:41" x14ac:dyDescent="0.3">
      <c r="A158" s="2">
        <v>209</v>
      </c>
      <c r="B158" s="2" t="str">
        <f>_xlfn.CONCAT(Table1[[#This Row],[Acession_no_.1]],"|",Table1[[#This Row],[Strain name]],"|",Table1[[#This Row],[host_simple]],"|",Table1[[#This Row],[Country]],"|",Table1[[#This Row],[date_text]])</f>
        <v>MN123678|Saf01|Mn|Guinea|2013-12-03</v>
      </c>
      <c r="C158" s="2" t="s">
        <v>1318</v>
      </c>
      <c r="D158" s="2" t="str">
        <f>IF(ISNUMBER(MATCH(B158,finalSelection!$A$1:$A$497,0)),"yes","no")</f>
        <v>yes</v>
      </c>
      <c r="E158" s="2" t="s">
        <v>923</v>
      </c>
      <c r="F158" s="2" t="s">
        <v>466</v>
      </c>
      <c r="H158" s="2" t="s">
        <v>467</v>
      </c>
      <c r="I158" s="2" t="s">
        <v>36</v>
      </c>
      <c r="J158" s="2" t="s">
        <v>37</v>
      </c>
      <c r="K158" s="2" t="s">
        <v>38</v>
      </c>
      <c r="L158" s="2" t="s">
        <v>37</v>
      </c>
      <c r="M158" s="2" t="str">
        <f>VLOOKUP(C158,seqConcatenated!$A$1:$B$124,2, FALSE)</f>
        <v>MN123678 and KT833203 are merged</v>
      </c>
      <c r="N158" s="2" t="str">
        <f>IF(ISNA(Table1[[#This Row],[Column2]]),Table1[[#This Row],[comments2]], IF(O158="NA",M158,_xlfn.CONCAT(O158,"--",M158)))</f>
        <v>MN123678 and KT833203 are merged</v>
      </c>
      <c r="O158" s="2" t="s">
        <v>39</v>
      </c>
      <c r="P158" s="2" t="s">
        <v>150</v>
      </c>
      <c r="Q158" s="2" t="s">
        <v>151</v>
      </c>
      <c r="S158" s="2" t="s">
        <v>42</v>
      </c>
      <c r="T158" s="2" t="s">
        <v>43</v>
      </c>
      <c r="U158" s="2" t="s">
        <v>44</v>
      </c>
      <c r="V158" s="2" t="s">
        <v>45</v>
      </c>
      <c r="W158" s="2">
        <v>888</v>
      </c>
      <c r="X158" s="2" t="s">
        <v>46</v>
      </c>
      <c r="Y158" s="2" t="s">
        <v>47</v>
      </c>
      <c r="AA158" s="2" t="s">
        <v>48</v>
      </c>
      <c r="AB158" s="2">
        <v>1</v>
      </c>
      <c r="AC158" s="2" t="s">
        <v>468</v>
      </c>
      <c r="AD158" s="2" t="s">
        <v>50</v>
      </c>
      <c r="AE158" s="4">
        <v>10.0578167</v>
      </c>
      <c r="AF158" s="4">
        <v>-10.7383667</v>
      </c>
      <c r="AG158" s="2" t="s">
        <v>51</v>
      </c>
      <c r="AI158" s="2" t="s">
        <v>52</v>
      </c>
      <c r="AJ158" s="2" t="str">
        <f>IF(Table1[[#This Row],[Host]]="Mastomys natalensis", "Mn", IF(Table1[[#This Row],[Host]]="Homo Sapiens","Human","PROBLEMMEMEMMEMEMEMM"))</f>
        <v>Mn</v>
      </c>
      <c r="AK158" s="2" t="s">
        <v>53</v>
      </c>
      <c r="AL158" s="5">
        <v>41611</v>
      </c>
      <c r="AM158" s="6" t="s">
        <v>1076</v>
      </c>
      <c r="AO158" s="2" t="s">
        <v>469</v>
      </c>
    </row>
    <row r="159" spans="1:41" x14ac:dyDescent="0.3">
      <c r="A159" s="2">
        <v>299</v>
      </c>
      <c r="B159" s="2" t="str">
        <f>_xlfn.CONCAT(Table1[[#This Row],[Acession_no_.1]],"|",Table1[[#This Row],[Strain name]],"|",Table1[[#This Row],[host_simple]],"|",Table1[[#This Row],[Country]],"|",Table1[[#This Row],[date_text]])</f>
        <v>KT833203|Saf01|Mn|Guinea|2013-12-03</v>
      </c>
      <c r="C159" s="2" t="s">
        <v>1318</v>
      </c>
      <c r="D159" s="2" t="str">
        <f>IF(ISNUMBER(MATCH(B159,finalSelection!$A$1:$A$497,0)),"yes","no")</f>
        <v>no</v>
      </c>
      <c r="E159" s="2" t="s">
        <v>924</v>
      </c>
      <c r="F159" s="2" t="s">
        <v>470</v>
      </c>
      <c r="H159" s="2" t="s">
        <v>467</v>
      </c>
      <c r="I159" s="2" t="s">
        <v>56</v>
      </c>
      <c r="J159" s="2" t="s">
        <v>154</v>
      </c>
      <c r="K159" s="2" t="s">
        <v>38</v>
      </c>
      <c r="L159" s="2" t="s">
        <v>37</v>
      </c>
      <c r="M159" s="2" t="str">
        <f>VLOOKUP(C159,seqConcatenated!$A$1:$B$124,2, FALSE)</f>
        <v>MN123678 and KT833203 are merged</v>
      </c>
      <c r="N159" s="2" t="str">
        <f>IF(ISNA(Table1[[#This Row],[Column2]]),Table1[[#This Row],[comments2]], IF(O159="NA",M159,_xlfn.CONCAT(O159,"--",M159)))</f>
        <v>MN123678 and KT833203 are merged</v>
      </c>
      <c r="O159" s="2" t="s">
        <v>39</v>
      </c>
      <c r="P159" s="2" t="s">
        <v>155</v>
      </c>
      <c r="Q159" s="2" t="s">
        <v>156</v>
      </c>
      <c r="S159" s="2" t="s">
        <v>42</v>
      </c>
      <c r="T159" s="2" t="s">
        <v>43</v>
      </c>
      <c r="U159" s="2" t="s">
        <v>44</v>
      </c>
      <c r="V159" s="2" t="s">
        <v>45</v>
      </c>
      <c r="W159" s="2">
        <v>754</v>
      </c>
      <c r="X159" s="2" t="s">
        <v>46</v>
      </c>
      <c r="Y159" s="2" t="s">
        <v>47</v>
      </c>
      <c r="AA159" s="2" t="s">
        <v>48</v>
      </c>
      <c r="AB159" s="2">
        <v>1</v>
      </c>
      <c r="AC159" s="2" t="s">
        <v>468</v>
      </c>
      <c r="AD159" s="2" t="s">
        <v>50</v>
      </c>
      <c r="AE159" s="4">
        <v>10.0578167</v>
      </c>
      <c r="AF159" s="4">
        <v>-10.7383667</v>
      </c>
      <c r="AG159" s="2" t="s">
        <v>51</v>
      </c>
      <c r="AI159" s="2" t="s">
        <v>52</v>
      </c>
      <c r="AJ159" s="2" t="str">
        <f>IF(Table1[[#This Row],[Host]]="Mastomys natalensis", "Mn", IF(Table1[[#This Row],[Host]]="Homo Sapiens","Human","PROBLEMMEMEMMEMEMEMM"))</f>
        <v>Mn</v>
      </c>
      <c r="AK159" s="2" t="s">
        <v>53</v>
      </c>
      <c r="AL159" s="5">
        <v>41611</v>
      </c>
      <c r="AM159" s="6" t="s">
        <v>1076</v>
      </c>
      <c r="AO159" s="2" t="s">
        <v>471</v>
      </c>
    </row>
    <row r="160" spans="1:41" ht="15.6" x14ac:dyDescent="0.3">
      <c r="A160" s="2">
        <v>210</v>
      </c>
      <c r="B160" s="2" t="str">
        <f>_xlfn.CONCAT(Table1[[#This Row],[Acession_no_.1]],"|",Table1[[#This Row],[Strain name]],"|",Table1[[#This Row],[host_simple]],"|",Table1[[#This Row],[Country]],"|",Table1[[#This Row],[date_text]])</f>
        <v>MN123679|Sil03|Mn|Guinea|2013-12-06</v>
      </c>
      <c r="C160" s="2" t="s">
        <v>1319</v>
      </c>
      <c r="D160" s="2" t="str">
        <f>IF(ISNUMBER(MATCH(B160,finalSelection!$A$1:$A$497,0)),"yes","no")</f>
        <v>yes</v>
      </c>
      <c r="E160" s="2" t="s">
        <v>925</v>
      </c>
      <c r="F160" s="2" t="s">
        <v>472</v>
      </c>
      <c r="H160" s="2" t="s">
        <v>473</v>
      </c>
      <c r="I160" s="2" t="s">
        <v>36</v>
      </c>
      <c r="J160" s="2" t="s">
        <v>37</v>
      </c>
      <c r="K160" s="2" t="s">
        <v>38</v>
      </c>
      <c r="L160" s="2" t="s">
        <v>37</v>
      </c>
      <c r="M160" s="2" t="str">
        <f>VLOOKUP(C160,seqConcatenated!$A$1:$B$124,2, FALSE)</f>
        <v>MN123679 and KT833204 are merged</v>
      </c>
      <c r="N160" s="2" t="str">
        <f>IF(ISNA(Table1[[#This Row],[Column2]]),Table1[[#This Row],[comments2]], IF(O160="NA",M160,_xlfn.CONCAT(O160,"--",M160)))</f>
        <v>Coordinates must be updated in metadata of AL3--MN123679 and KT833204 are merged</v>
      </c>
      <c r="O160" s="7" t="s">
        <v>474</v>
      </c>
      <c r="P160" s="2" t="s">
        <v>150</v>
      </c>
      <c r="Q160" s="2" t="s">
        <v>151</v>
      </c>
      <c r="S160" s="2" t="s">
        <v>42</v>
      </c>
      <c r="T160" s="2" t="s">
        <v>43</v>
      </c>
      <c r="U160" s="2" t="s">
        <v>44</v>
      </c>
      <c r="V160" s="2" t="s">
        <v>45</v>
      </c>
      <c r="W160" s="2">
        <v>888</v>
      </c>
      <c r="X160" s="2" t="s">
        <v>46</v>
      </c>
      <c r="Y160" s="2" t="s">
        <v>47</v>
      </c>
      <c r="AA160" s="2" t="s">
        <v>48</v>
      </c>
      <c r="AB160" s="2">
        <v>1</v>
      </c>
      <c r="AC160" s="2" t="s">
        <v>475</v>
      </c>
      <c r="AD160" s="2" t="s">
        <v>50</v>
      </c>
      <c r="AE160" s="8">
        <v>9.5860900000000004</v>
      </c>
      <c r="AF160" s="8">
        <v>-10.49173</v>
      </c>
      <c r="AG160" s="2" t="s">
        <v>476</v>
      </c>
      <c r="AI160" s="2" t="s">
        <v>52</v>
      </c>
      <c r="AJ160" s="2" t="str">
        <f>IF(Table1[[#This Row],[Host]]="Mastomys natalensis", "Mn", IF(Table1[[#This Row],[Host]]="Homo Sapiens","Human","PROBLEMMEMEMMEMEMEMM"))</f>
        <v>Mn</v>
      </c>
      <c r="AK160" s="2" t="s">
        <v>53</v>
      </c>
      <c r="AL160" s="5">
        <v>41614</v>
      </c>
      <c r="AM160" s="6" t="s">
        <v>1077</v>
      </c>
      <c r="AO160" s="2" t="s">
        <v>477</v>
      </c>
    </row>
    <row r="161" spans="1:41" ht="15.6" x14ac:dyDescent="0.3">
      <c r="A161" s="2">
        <v>300</v>
      </c>
      <c r="B161" s="2" t="str">
        <f>_xlfn.CONCAT(Table1[[#This Row],[Acession_no_.1]],"|",Table1[[#This Row],[Strain name]],"|",Table1[[#This Row],[host_simple]],"|",Table1[[#This Row],[Country]],"|",Table1[[#This Row],[date_text]])</f>
        <v>KT833204|Sil03|Mn|Guinea|2013-12-06</v>
      </c>
      <c r="C161" s="2" t="s">
        <v>1319</v>
      </c>
      <c r="D161" s="2" t="str">
        <f>IF(ISNUMBER(MATCH(B161,finalSelection!$A$1:$A$497,0)),"yes","no")</f>
        <v>no</v>
      </c>
      <c r="E161" s="2" t="s">
        <v>926</v>
      </c>
      <c r="F161" s="2" t="s">
        <v>478</v>
      </c>
      <c r="H161" s="2" t="s">
        <v>473</v>
      </c>
      <c r="I161" s="2" t="s">
        <v>56</v>
      </c>
      <c r="J161" s="2" t="s">
        <v>279</v>
      </c>
      <c r="K161" s="2" t="s">
        <v>38</v>
      </c>
      <c r="L161" s="2" t="s">
        <v>37</v>
      </c>
      <c r="M161" s="2" t="str">
        <f>VLOOKUP(C161,seqConcatenated!$A$1:$B$124,2, FALSE)</f>
        <v>MN123679 and KT833204 are merged</v>
      </c>
      <c r="N161" s="2" t="str">
        <f>IF(ISNA(Table1[[#This Row],[Column2]]),Table1[[#This Row],[comments2]], IF(O161="NA",M161,_xlfn.CONCAT(O161,"--",M161)))</f>
        <v>Coordinates must be updated in metadata of AL3--MN123679 and KT833204 are merged</v>
      </c>
      <c r="O161" s="7" t="s">
        <v>474</v>
      </c>
      <c r="P161" s="2" t="s">
        <v>155</v>
      </c>
      <c r="Q161" s="2" t="s">
        <v>156</v>
      </c>
      <c r="S161" s="2" t="s">
        <v>42</v>
      </c>
      <c r="T161" s="2" t="s">
        <v>43</v>
      </c>
      <c r="U161" s="2" t="s">
        <v>44</v>
      </c>
      <c r="V161" s="2" t="s">
        <v>45</v>
      </c>
      <c r="W161" s="2">
        <v>746</v>
      </c>
      <c r="X161" s="2" t="s">
        <v>46</v>
      </c>
      <c r="Y161" s="2" t="s">
        <v>47</v>
      </c>
      <c r="AA161" s="2" t="s">
        <v>48</v>
      </c>
      <c r="AB161" s="2">
        <v>1</v>
      </c>
      <c r="AC161" s="2" t="s">
        <v>475</v>
      </c>
      <c r="AD161" s="2" t="s">
        <v>50</v>
      </c>
      <c r="AE161" s="8">
        <v>9.5860900000000004</v>
      </c>
      <c r="AF161" s="8">
        <v>-10.49173</v>
      </c>
      <c r="AG161" s="2" t="s">
        <v>476</v>
      </c>
      <c r="AI161" s="2" t="s">
        <v>52</v>
      </c>
      <c r="AJ161" s="2" t="str">
        <f>IF(Table1[[#This Row],[Host]]="Mastomys natalensis", "Mn", IF(Table1[[#This Row],[Host]]="Homo Sapiens","Human","PROBLEMMEMEMMEMEMEMM"))</f>
        <v>Mn</v>
      </c>
      <c r="AK161" s="2" t="s">
        <v>53</v>
      </c>
      <c r="AL161" s="5">
        <v>41614</v>
      </c>
      <c r="AM161" s="6" t="s">
        <v>1077</v>
      </c>
      <c r="AO161" s="2" t="s">
        <v>479</v>
      </c>
    </row>
    <row r="162" spans="1:41" x14ac:dyDescent="0.3">
      <c r="A162" s="2">
        <v>74</v>
      </c>
      <c r="B162" s="2" t="str">
        <f>_xlfn.CONCAT(Table1[[#This Row],[Acession_no_.1]],"|",Table1[[#This Row],[Strain name]],"|",Table1[[#This Row],[host_simple]],"|",Table1[[#This Row],[Country]],"|",Table1[[#This Row],[date_text]])</f>
        <v>MT119533|Sok-103|Mn|Guinea|2017-02-01</v>
      </c>
      <c r="C162" s="2" t="s">
        <v>1320</v>
      </c>
      <c r="D162" s="2" t="str">
        <f>IF(ISNUMBER(MATCH(B162,finalSelection!$A$1:$A$497,0)),"yes","no")</f>
        <v>yes</v>
      </c>
      <c r="E162" s="2" t="s">
        <v>927</v>
      </c>
      <c r="F162" s="2" t="s">
        <v>480</v>
      </c>
      <c r="H162" s="2" t="s">
        <v>481</v>
      </c>
      <c r="I162" s="2" t="s">
        <v>36</v>
      </c>
      <c r="J162" s="2" t="s">
        <v>37</v>
      </c>
      <c r="K162" s="2" t="s">
        <v>38</v>
      </c>
      <c r="L162" s="2" t="s">
        <v>37</v>
      </c>
      <c r="M162" s="2" t="str">
        <f>VLOOKUP(C162,seqConcatenated!$A$1:$B$124,2, FALSE)</f>
        <v>MT119533 and MT119618 are merged</v>
      </c>
      <c r="N162" s="2" t="str">
        <f>IF(ISNA(Table1[[#This Row],[Column2]]),Table1[[#This Row],[comments2]], IF(O162="NA",M162,_xlfn.CONCAT(O162,"--",M162)))</f>
        <v>MT119533 and MT119618 are merged</v>
      </c>
      <c r="O162" s="2" t="s">
        <v>39</v>
      </c>
      <c r="P162" s="2" t="s">
        <v>40</v>
      </c>
      <c r="Q162" s="2" t="s">
        <v>41</v>
      </c>
      <c r="S162" s="2" t="s">
        <v>42</v>
      </c>
      <c r="T162" s="2" t="s">
        <v>43</v>
      </c>
      <c r="U162" s="2" t="s">
        <v>44</v>
      </c>
      <c r="V162" s="2" t="s">
        <v>45</v>
      </c>
      <c r="W162" s="2">
        <v>888</v>
      </c>
      <c r="X162" s="2" t="s">
        <v>46</v>
      </c>
      <c r="Y162" s="2" t="s">
        <v>47</v>
      </c>
      <c r="AA162" s="2" t="s">
        <v>48</v>
      </c>
      <c r="AB162" s="2">
        <v>1</v>
      </c>
      <c r="AC162" s="2" t="s">
        <v>482</v>
      </c>
      <c r="AD162" s="2" t="s">
        <v>50</v>
      </c>
      <c r="AE162" s="4">
        <v>10.056783299999999</v>
      </c>
      <c r="AF162" s="4">
        <v>-10.665833299999999</v>
      </c>
      <c r="AG162" s="2" t="s">
        <v>51</v>
      </c>
      <c r="AI162" s="2" t="s">
        <v>52</v>
      </c>
      <c r="AJ162" s="2" t="str">
        <f>IF(Table1[[#This Row],[Host]]="Mastomys natalensis", "Mn", IF(Table1[[#This Row],[Host]]="Homo Sapiens","Human","PROBLEMMEMEMMEMEMEMM"))</f>
        <v>Mn</v>
      </c>
      <c r="AK162" s="2" t="s">
        <v>53</v>
      </c>
      <c r="AL162" s="5">
        <v>42767</v>
      </c>
      <c r="AM162" s="6" t="s">
        <v>1078</v>
      </c>
      <c r="AO162" s="2" t="s">
        <v>483</v>
      </c>
    </row>
    <row r="163" spans="1:41" x14ac:dyDescent="0.3">
      <c r="A163" s="2">
        <v>159</v>
      </c>
      <c r="B163" s="2" t="str">
        <f>_xlfn.CONCAT(Table1[[#This Row],[Acession_no_.1]],"|",Table1[[#This Row],[Strain name]],"|",Table1[[#This Row],[host_simple]],"|",Table1[[#This Row],[Country]],"|",Table1[[#This Row],[date_text]])</f>
        <v>MT119618|Sok-103|Mn|Guinea|2017-02-01</v>
      </c>
      <c r="C163" s="2" t="s">
        <v>1320</v>
      </c>
      <c r="D163" s="2" t="str">
        <f>IF(ISNUMBER(MATCH(B163,finalSelection!$A$1:$A$497,0)),"yes","no")</f>
        <v>no</v>
      </c>
      <c r="E163" s="2" t="s">
        <v>928</v>
      </c>
      <c r="F163" s="2" t="s">
        <v>484</v>
      </c>
      <c r="H163" s="2" t="s">
        <v>481</v>
      </c>
      <c r="I163" s="2" t="s">
        <v>56</v>
      </c>
      <c r="J163" s="2" t="s">
        <v>37</v>
      </c>
      <c r="K163" s="2" t="s">
        <v>38</v>
      </c>
      <c r="L163" s="2" t="s">
        <v>37</v>
      </c>
      <c r="M163" s="2" t="str">
        <f>VLOOKUP(C163,seqConcatenated!$A$1:$B$124,2, FALSE)</f>
        <v>MT119533 and MT119618 are merged</v>
      </c>
      <c r="N163" s="2" t="str">
        <f>IF(ISNA(Table1[[#This Row],[Column2]]),Table1[[#This Row],[comments2]], IF(O163="NA",M163,_xlfn.CONCAT(O163,"--",M163)))</f>
        <v>MT119533 and MT119618 are merged</v>
      </c>
      <c r="O163" s="2" t="s">
        <v>39</v>
      </c>
      <c r="P163" s="2" t="s">
        <v>40</v>
      </c>
      <c r="Q163" s="2" t="s">
        <v>41</v>
      </c>
      <c r="S163" s="2" t="s">
        <v>42</v>
      </c>
      <c r="T163" s="2" t="s">
        <v>43</v>
      </c>
      <c r="U163" s="2" t="s">
        <v>44</v>
      </c>
      <c r="V163" s="2" t="s">
        <v>45</v>
      </c>
      <c r="W163" s="2">
        <v>735</v>
      </c>
      <c r="X163" s="2" t="s">
        <v>46</v>
      </c>
      <c r="Y163" s="2" t="s">
        <v>47</v>
      </c>
      <c r="AA163" s="2" t="s">
        <v>48</v>
      </c>
      <c r="AB163" s="2">
        <v>1</v>
      </c>
      <c r="AC163" s="2" t="s">
        <v>482</v>
      </c>
      <c r="AD163" s="2" t="s">
        <v>50</v>
      </c>
      <c r="AE163" s="4">
        <v>10.056783299999999</v>
      </c>
      <c r="AF163" s="4">
        <v>-10.665833299999999</v>
      </c>
      <c r="AG163" s="2" t="s">
        <v>51</v>
      </c>
      <c r="AI163" s="2" t="s">
        <v>52</v>
      </c>
      <c r="AJ163" s="2" t="str">
        <f>IF(Table1[[#This Row],[Host]]="Mastomys natalensis", "Mn", IF(Table1[[#This Row],[Host]]="Homo Sapiens","Human","PROBLEMMEMEMMEMEMEMM"))</f>
        <v>Mn</v>
      </c>
      <c r="AK163" s="2" t="s">
        <v>53</v>
      </c>
      <c r="AL163" s="5">
        <v>42767</v>
      </c>
      <c r="AM163" s="6" t="s">
        <v>1078</v>
      </c>
      <c r="AO163" s="2" t="s">
        <v>485</v>
      </c>
    </row>
    <row r="164" spans="1:41" x14ac:dyDescent="0.3">
      <c r="A164" s="2">
        <v>75</v>
      </c>
      <c r="B164" s="2" t="str">
        <f>_xlfn.CONCAT(Table1[[#This Row],[Acession_no_.1]],"|",Table1[[#This Row],[Strain name]],"|",Table1[[#This Row],[host_simple]],"|",Table1[[#This Row],[Country]],"|",Table1[[#This Row],[date_text]])</f>
        <v>MT119534|Sok-104|Mn|Guinea|2017-02-01</v>
      </c>
      <c r="C164" s="2" t="s">
        <v>1321</v>
      </c>
      <c r="D164" s="2" t="str">
        <f>IF(ISNUMBER(MATCH(B164,finalSelection!$A$1:$A$497,0)),"yes","no")</f>
        <v>yes</v>
      </c>
      <c r="E164" s="2" t="s">
        <v>929</v>
      </c>
      <c r="F164" s="2" t="s">
        <v>486</v>
      </c>
      <c r="H164" s="2" t="s">
        <v>487</v>
      </c>
      <c r="I164" s="2" t="s">
        <v>36</v>
      </c>
      <c r="J164" s="2" t="s">
        <v>37</v>
      </c>
      <c r="K164" s="2" t="s">
        <v>38</v>
      </c>
      <c r="L164" s="2" t="s">
        <v>37</v>
      </c>
      <c r="M164" s="2" t="str">
        <f>VLOOKUP(C164,seqConcatenated!$A$1:$B$124,2, FALSE)</f>
        <v>MT119534 and MT119619 are merged</v>
      </c>
      <c r="N164" s="2" t="str">
        <f>IF(ISNA(Table1[[#This Row],[Column2]]),Table1[[#This Row],[comments2]], IF(O164="NA",M164,_xlfn.CONCAT(O164,"--",M164)))</f>
        <v>MT119534 and MT119619 are merged</v>
      </c>
      <c r="O164" s="2" t="s">
        <v>39</v>
      </c>
      <c r="P164" s="2" t="s">
        <v>40</v>
      </c>
      <c r="Q164" s="2" t="s">
        <v>41</v>
      </c>
      <c r="S164" s="2" t="s">
        <v>42</v>
      </c>
      <c r="T164" s="2" t="s">
        <v>43</v>
      </c>
      <c r="U164" s="2" t="s">
        <v>44</v>
      </c>
      <c r="V164" s="2" t="s">
        <v>45</v>
      </c>
      <c r="W164" s="2">
        <v>888</v>
      </c>
      <c r="X164" s="2" t="s">
        <v>46</v>
      </c>
      <c r="Y164" s="2" t="s">
        <v>47</v>
      </c>
      <c r="AA164" s="2" t="s">
        <v>48</v>
      </c>
      <c r="AB164" s="2">
        <v>1</v>
      </c>
      <c r="AC164" s="2" t="s">
        <v>482</v>
      </c>
      <c r="AD164" s="2" t="s">
        <v>50</v>
      </c>
      <c r="AE164" s="4">
        <v>10.056783299999999</v>
      </c>
      <c r="AF164" s="4">
        <v>-10.665833299999999</v>
      </c>
      <c r="AG164" s="2" t="s">
        <v>51</v>
      </c>
      <c r="AI164" s="2" t="s">
        <v>52</v>
      </c>
      <c r="AJ164" s="2" t="str">
        <f>IF(Table1[[#This Row],[Host]]="Mastomys natalensis", "Mn", IF(Table1[[#This Row],[Host]]="Homo Sapiens","Human","PROBLEMMEMEMMEMEMEMM"))</f>
        <v>Mn</v>
      </c>
      <c r="AK164" s="2" t="s">
        <v>53</v>
      </c>
      <c r="AL164" s="5">
        <v>42767</v>
      </c>
      <c r="AM164" s="6" t="s">
        <v>1078</v>
      </c>
      <c r="AO164" s="2" t="s">
        <v>488</v>
      </c>
    </row>
    <row r="165" spans="1:41" x14ac:dyDescent="0.3">
      <c r="A165" s="2">
        <v>160</v>
      </c>
      <c r="B165" s="2" t="str">
        <f>_xlfn.CONCAT(Table1[[#This Row],[Acession_no_.1]],"|",Table1[[#This Row],[Strain name]],"|",Table1[[#This Row],[host_simple]],"|",Table1[[#This Row],[Country]],"|",Table1[[#This Row],[date_text]])</f>
        <v>MT119619|Sok-104|Mn|Guinea|2017-02-01</v>
      </c>
      <c r="C165" s="2" t="s">
        <v>1321</v>
      </c>
      <c r="D165" s="2" t="str">
        <f>IF(ISNUMBER(MATCH(B165,finalSelection!$A$1:$A$497,0)),"yes","no")</f>
        <v>no</v>
      </c>
      <c r="E165" s="2" t="s">
        <v>930</v>
      </c>
      <c r="F165" s="2" t="s">
        <v>489</v>
      </c>
      <c r="H165" s="2" t="s">
        <v>487</v>
      </c>
      <c r="I165" s="2" t="s">
        <v>56</v>
      </c>
      <c r="J165" s="2" t="s">
        <v>37</v>
      </c>
      <c r="K165" s="2" t="s">
        <v>38</v>
      </c>
      <c r="L165" s="2" t="s">
        <v>37</v>
      </c>
      <c r="M165" s="2" t="str">
        <f>VLOOKUP(C165,seqConcatenated!$A$1:$B$124,2, FALSE)</f>
        <v>MT119534 and MT119619 are merged</v>
      </c>
      <c r="N165" s="2" t="str">
        <f>IF(ISNA(Table1[[#This Row],[Column2]]),Table1[[#This Row],[comments2]], IF(O165="NA",M165,_xlfn.CONCAT(O165,"--",M165)))</f>
        <v>MT119534 and MT119619 are merged</v>
      </c>
      <c r="O165" s="2" t="s">
        <v>39</v>
      </c>
      <c r="P165" s="2" t="s">
        <v>40</v>
      </c>
      <c r="Q165" s="2" t="s">
        <v>41</v>
      </c>
      <c r="S165" s="2" t="s">
        <v>42</v>
      </c>
      <c r="T165" s="2" t="s">
        <v>43</v>
      </c>
      <c r="U165" s="2" t="s">
        <v>44</v>
      </c>
      <c r="V165" s="2" t="s">
        <v>45</v>
      </c>
      <c r="W165" s="2">
        <v>735</v>
      </c>
      <c r="X165" s="2" t="s">
        <v>46</v>
      </c>
      <c r="Y165" s="2" t="s">
        <v>47</v>
      </c>
      <c r="AA165" s="2" t="s">
        <v>48</v>
      </c>
      <c r="AB165" s="2">
        <v>1</v>
      </c>
      <c r="AC165" s="2" t="s">
        <v>482</v>
      </c>
      <c r="AD165" s="2" t="s">
        <v>50</v>
      </c>
      <c r="AE165" s="4">
        <v>10.056783299999999</v>
      </c>
      <c r="AF165" s="4">
        <v>-10.665833299999999</v>
      </c>
      <c r="AG165" s="2" t="s">
        <v>51</v>
      </c>
      <c r="AI165" s="2" t="s">
        <v>52</v>
      </c>
      <c r="AJ165" s="2" t="str">
        <f>IF(Table1[[#This Row],[Host]]="Mastomys natalensis", "Mn", IF(Table1[[#This Row],[Host]]="Homo Sapiens","Human","PROBLEMMEMEMMEMEMEMM"))</f>
        <v>Mn</v>
      </c>
      <c r="AK165" s="2" t="s">
        <v>53</v>
      </c>
      <c r="AL165" s="5">
        <v>42767</v>
      </c>
      <c r="AM165" s="6" t="s">
        <v>1078</v>
      </c>
      <c r="AO165" s="2" t="s">
        <v>490</v>
      </c>
    </row>
    <row r="166" spans="1:41" x14ac:dyDescent="0.3">
      <c r="A166" s="2">
        <v>62</v>
      </c>
      <c r="B166" s="2" t="str">
        <f>_xlfn.CONCAT(Table1[[#This Row],[Acession_no_.1]],"|",Table1[[#This Row],[Strain name]],"|",Table1[[#This Row],[host_simple]],"|",Table1[[#This Row],[Country]],"|",Table1[[#This Row],[date_text]])</f>
        <v>MT119521|Sok-22|Mn|Guinea|2013-11-09</v>
      </c>
      <c r="C166" s="2" t="s">
        <v>1322</v>
      </c>
      <c r="D166" s="2" t="str">
        <f>IF(ISNUMBER(MATCH(B166,finalSelection!$A$1:$A$497,0)),"yes","no")</f>
        <v>no</v>
      </c>
      <c r="E166" s="2" t="s">
        <v>931</v>
      </c>
      <c r="F166" s="2" t="s">
        <v>491</v>
      </c>
      <c r="H166" s="2" t="s">
        <v>492</v>
      </c>
      <c r="I166" s="2" t="s">
        <v>36</v>
      </c>
      <c r="J166" s="2" t="s">
        <v>37</v>
      </c>
      <c r="K166" s="2" t="s">
        <v>38</v>
      </c>
      <c r="L166" s="2" t="s">
        <v>37</v>
      </c>
      <c r="M166" s="2" t="str">
        <f>VLOOKUP(C166,seqConcatenated!$A$1:$B$124,2, FALSE)</f>
        <v>MT119521 and MT119606 are merged</v>
      </c>
      <c r="N166" s="2" t="str">
        <f>IF(ISNA(Table1[[#This Row],[Column2]]),Table1[[#This Row],[comments2]], IF(O166="NA",M166,_xlfn.CONCAT(O166,"--",M166)))</f>
        <v>MT119521 and MT119606 are merged</v>
      </c>
      <c r="O166" s="2" t="s">
        <v>39</v>
      </c>
      <c r="P166" s="2" t="s">
        <v>40</v>
      </c>
      <c r="Q166" s="2" t="s">
        <v>41</v>
      </c>
      <c r="S166" s="2" t="s">
        <v>42</v>
      </c>
      <c r="T166" s="2" t="s">
        <v>43</v>
      </c>
      <c r="U166" s="2" t="s">
        <v>44</v>
      </c>
      <c r="V166" s="2" t="s">
        <v>45</v>
      </c>
      <c r="W166" s="2">
        <v>888</v>
      </c>
      <c r="X166" s="2" t="s">
        <v>46</v>
      </c>
      <c r="Y166" s="2" t="s">
        <v>47</v>
      </c>
      <c r="AA166" s="2" t="s">
        <v>48</v>
      </c>
      <c r="AB166" s="2">
        <v>1</v>
      </c>
      <c r="AC166" s="2" t="s">
        <v>482</v>
      </c>
      <c r="AD166" s="2" t="s">
        <v>50</v>
      </c>
      <c r="AE166" s="4">
        <v>10.056783299999999</v>
      </c>
      <c r="AF166" s="4">
        <v>-10.665833299999999</v>
      </c>
      <c r="AG166" s="2" t="s">
        <v>51</v>
      </c>
      <c r="AI166" s="2" t="s">
        <v>52</v>
      </c>
      <c r="AJ166" s="2" t="str">
        <f>IF(Table1[[#This Row],[Host]]="Mastomys natalensis", "Mn", IF(Table1[[#This Row],[Host]]="Homo Sapiens","Human","PROBLEMMEMEMMEMEMEMM"))</f>
        <v>Mn</v>
      </c>
      <c r="AK166" s="2" t="s">
        <v>53</v>
      </c>
      <c r="AL166" s="5">
        <v>41587</v>
      </c>
      <c r="AM166" s="6" t="s">
        <v>1079</v>
      </c>
      <c r="AO166" s="2" t="s">
        <v>493</v>
      </c>
    </row>
    <row r="167" spans="1:41" x14ac:dyDescent="0.3">
      <c r="A167" s="2">
        <v>147</v>
      </c>
      <c r="B167" s="2" t="str">
        <f>_xlfn.CONCAT(Table1[[#This Row],[Acession_no_.1]],"|",Table1[[#This Row],[Strain name]],"|",Table1[[#This Row],[host_simple]],"|",Table1[[#This Row],[Country]],"|",Table1[[#This Row],[date_text]])</f>
        <v>MT119606|Sok-22|Mn|Guinea|2013-11-09</v>
      </c>
      <c r="C167" s="2" t="s">
        <v>1322</v>
      </c>
      <c r="D167" s="2" t="str">
        <f>IF(ISNUMBER(MATCH(B167,finalSelection!$A$1:$A$497,0)),"yes","no")</f>
        <v>no</v>
      </c>
      <c r="E167" s="2" t="s">
        <v>932</v>
      </c>
      <c r="F167" s="2" t="s">
        <v>494</v>
      </c>
      <c r="H167" s="2" t="s">
        <v>492</v>
      </c>
      <c r="I167" s="2" t="s">
        <v>56</v>
      </c>
      <c r="J167" s="2" t="s">
        <v>37</v>
      </c>
      <c r="K167" s="2" t="s">
        <v>38</v>
      </c>
      <c r="L167" s="2" t="s">
        <v>37</v>
      </c>
      <c r="M167" s="2" t="str">
        <f>VLOOKUP(C167,seqConcatenated!$A$1:$B$124,2, FALSE)</f>
        <v>MT119521 and MT119606 are merged</v>
      </c>
      <c r="N167" s="2" t="str">
        <f>IF(ISNA(Table1[[#This Row],[Column2]]),Table1[[#This Row],[comments2]], IF(O167="NA",M167,_xlfn.CONCAT(O167,"--",M167)))</f>
        <v>MT119521 and MT119606 are merged</v>
      </c>
      <c r="O167" s="2" t="s">
        <v>39</v>
      </c>
      <c r="P167" s="2" t="s">
        <v>40</v>
      </c>
      <c r="Q167" s="2" t="s">
        <v>41</v>
      </c>
      <c r="S167" s="2" t="s">
        <v>42</v>
      </c>
      <c r="T167" s="2" t="s">
        <v>43</v>
      </c>
      <c r="U167" s="2" t="s">
        <v>44</v>
      </c>
      <c r="V167" s="2" t="s">
        <v>45</v>
      </c>
      <c r="W167" s="2">
        <v>735</v>
      </c>
      <c r="X167" s="2" t="s">
        <v>46</v>
      </c>
      <c r="Y167" s="2" t="s">
        <v>47</v>
      </c>
      <c r="AA167" s="2" t="s">
        <v>48</v>
      </c>
      <c r="AB167" s="2">
        <v>1</v>
      </c>
      <c r="AC167" s="2" t="s">
        <v>482</v>
      </c>
      <c r="AD167" s="2" t="s">
        <v>50</v>
      </c>
      <c r="AE167" s="4">
        <v>10.056783299999999</v>
      </c>
      <c r="AF167" s="4">
        <v>-10.665833299999999</v>
      </c>
      <c r="AG167" s="2" t="s">
        <v>51</v>
      </c>
      <c r="AI167" s="2" t="s">
        <v>52</v>
      </c>
      <c r="AJ167" s="2" t="str">
        <f>IF(Table1[[#This Row],[Host]]="Mastomys natalensis", "Mn", IF(Table1[[#This Row],[Host]]="Homo Sapiens","Human","PROBLEMMEMEMMEMEMEMM"))</f>
        <v>Mn</v>
      </c>
      <c r="AK167" s="2" t="s">
        <v>53</v>
      </c>
      <c r="AL167" s="5">
        <v>41587</v>
      </c>
      <c r="AM167" s="6" t="s">
        <v>1079</v>
      </c>
      <c r="AO167" s="2" t="s">
        <v>495</v>
      </c>
    </row>
    <row r="168" spans="1:41" x14ac:dyDescent="0.3">
      <c r="A168" s="2">
        <v>63</v>
      </c>
      <c r="B168" s="2" t="str">
        <f>_xlfn.CONCAT(Table1[[#This Row],[Acession_no_.1]],"|",Table1[[#This Row],[Strain name]],"|",Table1[[#This Row],[host_simple]],"|",Table1[[#This Row],[Country]],"|",Table1[[#This Row],[date_text]])</f>
        <v>MT119522|Sok-34|Mn|Guinea|2013-11-10</v>
      </c>
      <c r="C168" s="2" t="s">
        <v>1323</v>
      </c>
      <c r="D168" s="2" t="str">
        <f>IF(ISNUMBER(MATCH(B168,finalSelection!$A$1:$A$497,0)),"yes","no")</f>
        <v>yes</v>
      </c>
      <c r="E168" s="2" t="s">
        <v>933</v>
      </c>
      <c r="F168" s="2" t="s">
        <v>496</v>
      </c>
      <c r="H168" s="2" t="s">
        <v>497</v>
      </c>
      <c r="I168" s="2" t="s">
        <v>36</v>
      </c>
      <c r="J168" s="2" t="s">
        <v>37</v>
      </c>
      <c r="K168" s="2" t="s">
        <v>38</v>
      </c>
      <c r="L168" s="2" t="s">
        <v>37</v>
      </c>
      <c r="M168" s="2" t="str">
        <f>VLOOKUP(C168,seqConcatenated!$A$1:$B$124,2, FALSE)</f>
        <v>MT119522 and MT119607 are merged</v>
      </c>
      <c r="N168" s="2" t="str">
        <f>IF(ISNA(Table1[[#This Row],[Column2]]),Table1[[#This Row],[comments2]], IF(O168="NA",M168,_xlfn.CONCAT(O168,"--",M168)))</f>
        <v>MT119522 and MT119607 are merged</v>
      </c>
      <c r="O168" s="2" t="s">
        <v>39</v>
      </c>
      <c r="P168" s="2" t="s">
        <v>40</v>
      </c>
      <c r="Q168" s="2" t="s">
        <v>41</v>
      </c>
      <c r="S168" s="2" t="s">
        <v>42</v>
      </c>
      <c r="T168" s="2" t="s">
        <v>43</v>
      </c>
      <c r="U168" s="2" t="s">
        <v>44</v>
      </c>
      <c r="V168" s="2" t="s">
        <v>45</v>
      </c>
      <c r="W168" s="2">
        <v>888</v>
      </c>
      <c r="X168" s="2" t="s">
        <v>46</v>
      </c>
      <c r="Y168" s="2" t="s">
        <v>47</v>
      </c>
      <c r="AA168" s="2" t="s">
        <v>48</v>
      </c>
      <c r="AB168" s="2">
        <v>1</v>
      </c>
      <c r="AC168" s="2" t="s">
        <v>482</v>
      </c>
      <c r="AD168" s="2" t="s">
        <v>50</v>
      </c>
      <c r="AE168" s="4">
        <v>10.056783299999999</v>
      </c>
      <c r="AF168" s="4">
        <v>-10.665833299999999</v>
      </c>
      <c r="AG168" s="2" t="s">
        <v>51</v>
      </c>
      <c r="AI168" s="2" t="s">
        <v>52</v>
      </c>
      <c r="AJ168" s="2" t="str">
        <f>IF(Table1[[#This Row],[Host]]="Mastomys natalensis", "Mn", IF(Table1[[#This Row],[Host]]="Homo Sapiens","Human","PROBLEMMEMEMMEMEMEMM"))</f>
        <v>Mn</v>
      </c>
      <c r="AK168" s="2" t="s">
        <v>53</v>
      </c>
      <c r="AL168" s="5">
        <v>41588</v>
      </c>
      <c r="AM168" s="6" t="s">
        <v>1080</v>
      </c>
      <c r="AO168" s="2" t="s">
        <v>498</v>
      </c>
    </row>
    <row r="169" spans="1:41" x14ac:dyDescent="0.3">
      <c r="A169" s="2">
        <v>148</v>
      </c>
      <c r="B169" s="2" t="str">
        <f>_xlfn.CONCAT(Table1[[#This Row],[Acession_no_.1]],"|",Table1[[#This Row],[Strain name]],"|",Table1[[#This Row],[host_simple]],"|",Table1[[#This Row],[Country]],"|",Table1[[#This Row],[date_text]])</f>
        <v>MT119607|Sok-34|Mn|Guinea|2013-11-10</v>
      </c>
      <c r="C169" s="2" t="s">
        <v>1323</v>
      </c>
      <c r="D169" s="2" t="str">
        <f>IF(ISNUMBER(MATCH(B169,finalSelection!$A$1:$A$497,0)),"yes","no")</f>
        <v>no</v>
      </c>
      <c r="E169" s="2" t="s">
        <v>934</v>
      </c>
      <c r="F169" s="2" t="s">
        <v>499</v>
      </c>
      <c r="H169" s="2" t="s">
        <v>497</v>
      </c>
      <c r="I169" s="2" t="s">
        <v>56</v>
      </c>
      <c r="J169" s="2" t="s">
        <v>37</v>
      </c>
      <c r="K169" s="2" t="s">
        <v>38</v>
      </c>
      <c r="L169" s="2" t="s">
        <v>37</v>
      </c>
      <c r="M169" s="2" t="str">
        <f>VLOOKUP(C169,seqConcatenated!$A$1:$B$124,2, FALSE)</f>
        <v>MT119522 and MT119607 are merged</v>
      </c>
      <c r="N169" s="2" t="str">
        <f>IF(ISNA(Table1[[#This Row],[Column2]]),Table1[[#This Row],[comments2]], IF(O169="NA",M169,_xlfn.CONCAT(O169,"--",M169)))</f>
        <v>MT119522 and MT119607 are merged</v>
      </c>
      <c r="O169" s="2" t="s">
        <v>39</v>
      </c>
      <c r="P169" s="2" t="s">
        <v>40</v>
      </c>
      <c r="Q169" s="2" t="s">
        <v>41</v>
      </c>
      <c r="S169" s="2" t="s">
        <v>42</v>
      </c>
      <c r="T169" s="2" t="s">
        <v>43</v>
      </c>
      <c r="U169" s="2" t="s">
        <v>44</v>
      </c>
      <c r="V169" s="2" t="s">
        <v>45</v>
      </c>
      <c r="W169" s="2">
        <v>735</v>
      </c>
      <c r="X169" s="2" t="s">
        <v>46</v>
      </c>
      <c r="Y169" s="2" t="s">
        <v>47</v>
      </c>
      <c r="AA169" s="2" t="s">
        <v>48</v>
      </c>
      <c r="AB169" s="2">
        <v>1</v>
      </c>
      <c r="AC169" s="2" t="s">
        <v>482</v>
      </c>
      <c r="AD169" s="2" t="s">
        <v>50</v>
      </c>
      <c r="AE169" s="4">
        <v>10.056783299999999</v>
      </c>
      <c r="AF169" s="4">
        <v>-10.665833299999999</v>
      </c>
      <c r="AG169" s="2" t="s">
        <v>51</v>
      </c>
      <c r="AI169" s="2" t="s">
        <v>52</v>
      </c>
      <c r="AJ169" s="2" t="str">
        <f>IF(Table1[[#This Row],[Host]]="Mastomys natalensis", "Mn", IF(Table1[[#This Row],[Host]]="Homo Sapiens","Human","PROBLEMMEMEMMEMEMEMM"))</f>
        <v>Mn</v>
      </c>
      <c r="AK169" s="2" t="s">
        <v>53</v>
      </c>
      <c r="AL169" s="5">
        <v>41588</v>
      </c>
      <c r="AM169" s="6" t="s">
        <v>1080</v>
      </c>
      <c r="AO169" s="2" t="s">
        <v>500</v>
      </c>
    </row>
    <row r="170" spans="1:41" x14ac:dyDescent="0.3">
      <c r="A170" s="2">
        <v>64</v>
      </c>
      <c r="B170" s="2" t="str">
        <f>_xlfn.CONCAT(Table1[[#This Row],[Acession_no_.1]],"|",Table1[[#This Row],[Strain name]],"|",Table1[[#This Row],[host_simple]],"|",Table1[[#This Row],[Country]],"|",Table1[[#This Row],[date_text]])</f>
        <v>MT119523|Sok-37|Mn|Guinea|2014-04-03</v>
      </c>
      <c r="C170" s="2" t="s">
        <v>1324</v>
      </c>
      <c r="D170" s="2" t="str">
        <f>IF(ISNUMBER(MATCH(B170,finalSelection!$A$1:$A$497,0)),"yes","no")</f>
        <v>yes</v>
      </c>
      <c r="E170" s="2" t="s">
        <v>935</v>
      </c>
      <c r="F170" s="2" t="s">
        <v>501</v>
      </c>
      <c r="H170" s="2" t="s">
        <v>502</v>
      </c>
      <c r="I170" s="2" t="s">
        <v>36</v>
      </c>
      <c r="J170" s="2" t="s">
        <v>37</v>
      </c>
      <c r="K170" s="2" t="s">
        <v>38</v>
      </c>
      <c r="L170" s="2" t="s">
        <v>37</v>
      </c>
      <c r="M170" s="2" t="str">
        <f>VLOOKUP(C170,seqConcatenated!$A$1:$B$124,2, FALSE)</f>
        <v>MT119523 and MT119608 are merged</v>
      </c>
      <c r="N170" s="2" t="str">
        <f>IF(ISNA(Table1[[#This Row],[Column2]]),Table1[[#This Row],[comments2]], IF(O170="NA",M170,_xlfn.CONCAT(O170,"--",M170)))</f>
        <v>MT119523 and MT119608 are merged</v>
      </c>
      <c r="O170" s="2" t="s">
        <v>39</v>
      </c>
      <c r="P170" s="2" t="s">
        <v>40</v>
      </c>
      <c r="Q170" s="2" t="s">
        <v>41</v>
      </c>
      <c r="S170" s="2" t="s">
        <v>42</v>
      </c>
      <c r="T170" s="2" t="s">
        <v>43</v>
      </c>
      <c r="U170" s="2" t="s">
        <v>44</v>
      </c>
      <c r="V170" s="2" t="s">
        <v>45</v>
      </c>
      <c r="W170" s="2">
        <v>888</v>
      </c>
      <c r="X170" s="2" t="s">
        <v>46</v>
      </c>
      <c r="Y170" s="2" t="s">
        <v>47</v>
      </c>
      <c r="AA170" s="2" t="s">
        <v>48</v>
      </c>
      <c r="AB170" s="2">
        <v>1</v>
      </c>
      <c r="AC170" s="2" t="s">
        <v>482</v>
      </c>
      <c r="AD170" s="2" t="s">
        <v>50</v>
      </c>
      <c r="AE170" s="4">
        <v>10.056783299999999</v>
      </c>
      <c r="AF170" s="4">
        <v>-10.665833299999999</v>
      </c>
      <c r="AG170" s="2" t="s">
        <v>51</v>
      </c>
      <c r="AI170" s="2" t="s">
        <v>52</v>
      </c>
      <c r="AJ170" s="2" t="str">
        <f>IF(Table1[[#This Row],[Host]]="Mastomys natalensis", "Mn", IF(Table1[[#This Row],[Host]]="Homo Sapiens","Human","PROBLEMMEMEMMEMEMEMM"))</f>
        <v>Mn</v>
      </c>
      <c r="AK170" s="2" t="s">
        <v>53</v>
      </c>
      <c r="AL170" s="5">
        <v>41732</v>
      </c>
      <c r="AM170" s="6" t="s">
        <v>1081</v>
      </c>
      <c r="AO170" s="2" t="s">
        <v>503</v>
      </c>
    </row>
    <row r="171" spans="1:41" x14ac:dyDescent="0.3">
      <c r="A171" s="2">
        <v>149</v>
      </c>
      <c r="B171" s="2" t="str">
        <f>_xlfn.CONCAT(Table1[[#This Row],[Acession_no_.1]],"|",Table1[[#This Row],[Strain name]],"|",Table1[[#This Row],[host_simple]],"|",Table1[[#This Row],[Country]],"|",Table1[[#This Row],[date_text]])</f>
        <v>MT119608|Sok-37|Mn|Guinea|2014-04-03</v>
      </c>
      <c r="C171" s="2" t="s">
        <v>1324</v>
      </c>
      <c r="D171" s="2" t="str">
        <f>IF(ISNUMBER(MATCH(B171,finalSelection!$A$1:$A$497,0)),"yes","no")</f>
        <v>no</v>
      </c>
      <c r="E171" s="2" t="s">
        <v>936</v>
      </c>
      <c r="F171" s="2" t="s">
        <v>504</v>
      </c>
      <c r="H171" s="2" t="s">
        <v>502</v>
      </c>
      <c r="I171" s="2" t="s">
        <v>56</v>
      </c>
      <c r="J171" s="2" t="s">
        <v>37</v>
      </c>
      <c r="K171" s="2" t="s">
        <v>38</v>
      </c>
      <c r="L171" s="2" t="s">
        <v>37</v>
      </c>
      <c r="M171" s="2" t="str">
        <f>VLOOKUP(C171,seqConcatenated!$A$1:$B$124,2, FALSE)</f>
        <v>MT119523 and MT119608 are merged</v>
      </c>
      <c r="N171" s="2" t="str">
        <f>IF(ISNA(Table1[[#This Row],[Column2]]),Table1[[#This Row],[comments2]], IF(O171="NA",M171,_xlfn.CONCAT(O171,"--",M171)))</f>
        <v>MT119523 and MT119608 are merged</v>
      </c>
      <c r="O171" s="2" t="s">
        <v>39</v>
      </c>
      <c r="P171" s="2" t="s">
        <v>40</v>
      </c>
      <c r="Q171" s="2" t="s">
        <v>41</v>
      </c>
      <c r="S171" s="2" t="s">
        <v>42</v>
      </c>
      <c r="T171" s="2" t="s">
        <v>43</v>
      </c>
      <c r="U171" s="2" t="s">
        <v>44</v>
      </c>
      <c r="V171" s="2" t="s">
        <v>45</v>
      </c>
      <c r="W171" s="2">
        <v>732</v>
      </c>
      <c r="X171" s="2" t="s">
        <v>46</v>
      </c>
      <c r="Y171" s="2" t="s">
        <v>47</v>
      </c>
      <c r="AA171" s="2" t="s">
        <v>48</v>
      </c>
      <c r="AB171" s="2">
        <v>1</v>
      </c>
      <c r="AC171" s="2" t="s">
        <v>482</v>
      </c>
      <c r="AD171" s="2" t="s">
        <v>50</v>
      </c>
      <c r="AE171" s="4">
        <v>10.056783299999999</v>
      </c>
      <c r="AF171" s="4">
        <v>-10.665833299999999</v>
      </c>
      <c r="AG171" s="2" t="s">
        <v>51</v>
      </c>
      <c r="AI171" s="2" t="s">
        <v>52</v>
      </c>
      <c r="AJ171" s="2" t="str">
        <f>IF(Table1[[#This Row],[Host]]="Mastomys natalensis", "Mn", IF(Table1[[#This Row],[Host]]="Homo Sapiens","Human","PROBLEMMEMEMMEMEMEMM"))</f>
        <v>Mn</v>
      </c>
      <c r="AK171" s="2" t="s">
        <v>53</v>
      </c>
      <c r="AL171" s="5">
        <v>41732</v>
      </c>
      <c r="AM171" s="6" t="s">
        <v>1081</v>
      </c>
      <c r="AO171" s="2" t="s">
        <v>505</v>
      </c>
    </row>
    <row r="172" spans="1:41" x14ac:dyDescent="0.3">
      <c r="A172" s="2">
        <v>65</v>
      </c>
      <c r="B172" s="2" t="str">
        <f>_xlfn.CONCAT(Table1[[#This Row],[Acession_no_.1]],"|",Table1[[#This Row],[Strain name]],"|",Table1[[#This Row],[host_simple]],"|",Table1[[#This Row],[Country]],"|",Table1[[#This Row],[date_text]])</f>
        <v>MT119524|Sok-41|Mn|Guinea|2014-04-03</v>
      </c>
      <c r="C172" s="2" t="s">
        <v>1325</v>
      </c>
      <c r="D172" s="2" t="str">
        <f>IF(ISNUMBER(MATCH(B172,finalSelection!$A$1:$A$497,0)),"yes","no")</f>
        <v>yes</v>
      </c>
      <c r="E172" s="2" t="s">
        <v>937</v>
      </c>
      <c r="F172" s="2" t="s">
        <v>506</v>
      </c>
      <c r="H172" s="2" t="s">
        <v>507</v>
      </c>
      <c r="I172" s="2" t="s">
        <v>36</v>
      </c>
      <c r="J172" s="2" t="s">
        <v>37</v>
      </c>
      <c r="K172" s="2" t="s">
        <v>38</v>
      </c>
      <c r="L172" s="2" t="s">
        <v>37</v>
      </c>
      <c r="M172" s="2" t="str">
        <f>VLOOKUP(C172,seqConcatenated!$A$1:$B$124,2, FALSE)</f>
        <v>MT119524 and MT119609 are merged</v>
      </c>
      <c r="N172" s="2" t="str">
        <f>IF(ISNA(Table1[[#This Row],[Column2]]),Table1[[#This Row],[comments2]], IF(O172="NA",M172,_xlfn.CONCAT(O172,"--",M172)))</f>
        <v>MT119524 and MT119609 are merged</v>
      </c>
      <c r="O172" s="2" t="s">
        <v>39</v>
      </c>
      <c r="P172" s="2" t="s">
        <v>40</v>
      </c>
      <c r="Q172" s="2" t="s">
        <v>41</v>
      </c>
      <c r="S172" s="2" t="s">
        <v>42</v>
      </c>
      <c r="T172" s="2" t="s">
        <v>43</v>
      </c>
      <c r="U172" s="2" t="s">
        <v>44</v>
      </c>
      <c r="V172" s="2" t="s">
        <v>45</v>
      </c>
      <c r="W172" s="2">
        <v>888</v>
      </c>
      <c r="X172" s="2" t="s">
        <v>46</v>
      </c>
      <c r="Y172" s="2" t="s">
        <v>47</v>
      </c>
      <c r="AA172" s="2" t="s">
        <v>48</v>
      </c>
      <c r="AB172" s="2">
        <v>1</v>
      </c>
      <c r="AC172" s="2" t="s">
        <v>482</v>
      </c>
      <c r="AD172" s="2" t="s">
        <v>50</v>
      </c>
      <c r="AE172" s="4">
        <v>10.056783299999999</v>
      </c>
      <c r="AF172" s="4">
        <v>-10.665833299999999</v>
      </c>
      <c r="AG172" s="2" t="s">
        <v>51</v>
      </c>
      <c r="AI172" s="2" t="s">
        <v>52</v>
      </c>
      <c r="AJ172" s="2" t="str">
        <f>IF(Table1[[#This Row],[Host]]="Mastomys natalensis", "Mn", IF(Table1[[#This Row],[Host]]="Homo Sapiens","Human","PROBLEMMEMEMMEMEMEMM"))</f>
        <v>Mn</v>
      </c>
      <c r="AK172" s="2" t="s">
        <v>53</v>
      </c>
      <c r="AL172" s="5">
        <v>41732</v>
      </c>
      <c r="AM172" s="6" t="s">
        <v>1081</v>
      </c>
      <c r="AO172" s="2" t="s">
        <v>508</v>
      </c>
    </row>
    <row r="173" spans="1:41" x14ac:dyDescent="0.3">
      <c r="A173" s="2">
        <v>150</v>
      </c>
      <c r="B173" s="2" t="str">
        <f>_xlfn.CONCAT(Table1[[#This Row],[Acession_no_.1]],"|",Table1[[#This Row],[Strain name]],"|",Table1[[#This Row],[host_simple]],"|",Table1[[#This Row],[Country]],"|",Table1[[#This Row],[date_text]])</f>
        <v>MT119609|Sok-41|Mn|Guinea|2014-04-03</v>
      </c>
      <c r="C173" s="2" t="s">
        <v>1325</v>
      </c>
      <c r="D173" s="2" t="str">
        <f>IF(ISNUMBER(MATCH(B173,finalSelection!$A$1:$A$497,0)),"yes","no")</f>
        <v>no</v>
      </c>
      <c r="E173" s="2" t="s">
        <v>938</v>
      </c>
      <c r="F173" s="2" t="s">
        <v>509</v>
      </c>
      <c r="H173" s="2" t="s">
        <v>507</v>
      </c>
      <c r="I173" s="2" t="s">
        <v>56</v>
      </c>
      <c r="J173" s="2" t="s">
        <v>37</v>
      </c>
      <c r="K173" s="2" t="s">
        <v>38</v>
      </c>
      <c r="L173" s="2" t="s">
        <v>37</v>
      </c>
      <c r="M173" s="2" t="str">
        <f>VLOOKUP(C173,seqConcatenated!$A$1:$B$124,2, FALSE)</f>
        <v>MT119524 and MT119609 are merged</v>
      </c>
      <c r="N173" s="2" t="str">
        <f>IF(ISNA(Table1[[#This Row],[Column2]]),Table1[[#This Row],[comments2]], IF(O173="NA",M173,_xlfn.CONCAT(O173,"--",M173)))</f>
        <v>MT119524 and MT119609 are merged</v>
      </c>
      <c r="O173" s="2" t="s">
        <v>39</v>
      </c>
      <c r="P173" s="2" t="s">
        <v>40</v>
      </c>
      <c r="Q173" s="2" t="s">
        <v>41</v>
      </c>
      <c r="S173" s="2" t="s">
        <v>42</v>
      </c>
      <c r="T173" s="2" t="s">
        <v>43</v>
      </c>
      <c r="U173" s="2" t="s">
        <v>44</v>
      </c>
      <c r="V173" s="2" t="s">
        <v>45</v>
      </c>
      <c r="W173" s="2">
        <v>735</v>
      </c>
      <c r="X173" s="2" t="s">
        <v>46</v>
      </c>
      <c r="Y173" s="2" t="s">
        <v>47</v>
      </c>
      <c r="AA173" s="2" t="s">
        <v>48</v>
      </c>
      <c r="AB173" s="2">
        <v>1</v>
      </c>
      <c r="AC173" s="2" t="s">
        <v>482</v>
      </c>
      <c r="AD173" s="2" t="s">
        <v>50</v>
      </c>
      <c r="AE173" s="4">
        <v>10.056783299999999</v>
      </c>
      <c r="AF173" s="4">
        <v>-10.665833299999999</v>
      </c>
      <c r="AG173" s="2" t="s">
        <v>51</v>
      </c>
      <c r="AI173" s="2" t="s">
        <v>52</v>
      </c>
      <c r="AJ173" s="2" t="str">
        <f>IF(Table1[[#This Row],[Host]]="Mastomys natalensis", "Mn", IF(Table1[[#This Row],[Host]]="Homo Sapiens","Human","PROBLEMMEMEMMEMEMEMM"))</f>
        <v>Mn</v>
      </c>
      <c r="AK173" s="2" t="s">
        <v>53</v>
      </c>
      <c r="AL173" s="5">
        <v>41732</v>
      </c>
      <c r="AM173" s="6" t="s">
        <v>1081</v>
      </c>
      <c r="AO173" s="2" t="s">
        <v>510</v>
      </c>
    </row>
    <row r="174" spans="1:41" x14ac:dyDescent="0.3">
      <c r="A174" s="2">
        <v>66</v>
      </c>
      <c r="B174" s="2" t="str">
        <f>_xlfn.CONCAT(Table1[[#This Row],[Acession_no_.1]],"|",Table1[[#This Row],[Strain name]],"|",Table1[[#This Row],[host_simple]],"|",Table1[[#This Row],[Country]],"|",Table1[[#This Row],[date_text]])</f>
        <v>MT119525|Sok-42|Mn|Guinea|2014-04-03</v>
      </c>
      <c r="C174" s="2" t="s">
        <v>1326</v>
      </c>
      <c r="D174" s="2" t="str">
        <f>IF(ISNUMBER(MATCH(B174,finalSelection!$A$1:$A$497,0)),"yes","no")</f>
        <v>yes</v>
      </c>
      <c r="E174" s="2" t="s">
        <v>939</v>
      </c>
      <c r="F174" s="2" t="s">
        <v>511</v>
      </c>
      <c r="H174" s="2" t="s">
        <v>512</v>
      </c>
      <c r="I174" s="2" t="s">
        <v>36</v>
      </c>
      <c r="J174" s="2" t="s">
        <v>37</v>
      </c>
      <c r="K174" s="2" t="s">
        <v>38</v>
      </c>
      <c r="L174" s="2" t="s">
        <v>37</v>
      </c>
      <c r="M174" s="2" t="str">
        <f>VLOOKUP(C174,seqConcatenated!$A$1:$B$124,2, FALSE)</f>
        <v>MT119525 and MT119610 are merged</v>
      </c>
      <c r="N174" s="2" t="str">
        <f>IF(ISNA(Table1[[#This Row],[Column2]]),Table1[[#This Row],[comments2]], IF(O174="NA",M174,_xlfn.CONCAT(O174,"--",M174)))</f>
        <v>MT119525 and MT119610 are merged</v>
      </c>
      <c r="O174" s="2" t="s">
        <v>39</v>
      </c>
      <c r="P174" s="2" t="s">
        <v>40</v>
      </c>
      <c r="Q174" s="2" t="s">
        <v>41</v>
      </c>
      <c r="S174" s="2" t="s">
        <v>42</v>
      </c>
      <c r="T174" s="2" t="s">
        <v>43</v>
      </c>
      <c r="U174" s="2" t="s">
        <v>44</v>
      </c>
      <c r="V174" s="2" t="s">
        <v>45</v>
      </c>
      <c r="W174" s="2">
        <v>888</v>
      </c>
      <c r="X174" s="2" t="s">
        <v>46</v>
      </c>
      <c r="Y174" s="2" t="s">
        <v>47</v>
      </c>
      <c r="AA174" s="2" t="s">
        <v>48</v>
      </c>
      <c r="AB174" s="2">
        <v>1</v>
      </c>
      <c r="AC174" s="2" t="s">
        <v>482</v>
      </c>
      <c r="AD174" s="2" t="s">
        <v>50</v>
      </c>
      <c r="AE174" s="4">
        <v>10.056783299999999</v>
      </c>
      <c r="AF174" s="4">
        <v>-10.665833299999999</v>
      </c>
      <c r="AG174" s="2" t="s">
        <v>51</v>
      </c>
      <c r="AI174" s="2" t="s">
        <v>52</v>
      </c>
      <c r="AJ174" s="2" t="str">
        <f>IF(Table1[[#This Row],[Host]]="Mastomys natalensis", "Mn", IF(Table1[[#This Row],[Host]]="Homo Sapiens","Human","PROBLEMMEMEMMEMEMEMM"))</f>
        <v>Mn</v>
      </c>
      <c r="AK174" s="2" t="s">
        <v>53</v>
      </c>
      <c r="AL174" s="5">
        <v>41732</v>
      </c>
      <c r="AM174" s="6" t="s">
        <v>1081</v>
      </c>
      <c r="AO174" s="2" t="s">
        <v>513</v>
      </c>
    </row>
    <row r="175" spans="1:41" x14ac:dyDescent="0.3">
      <c r="A175" s="2">
        <v>151</v>
      </c>
      <c r="B175" s="2" t="str">
        <f>_xlfn.CONCAT(Table1[[#This Row],[Acession_no_.1]],"|",Table1[[#This Row],[Strain name]],"|",Table1[[#This Row],[host_simple]],"|",Table1[[#This Row],[Country]],"|",Table1[[#This Row],[date_text]])</f>
        <v>MT119610|Sok-42|Mn|Guinea|2014-04-03</v>
      </c>
      <c r="C175" s="2" t="s">
        <v>1326</v>
      </c>
      <c r="D175" s="2" t="str">
        <f>IF(ISNUMBER(MATCH(B175,finalSelection!$A$1:$A$497,0)),"yes","no")</f>
        <v>no</v>
      </c>
      <c r="E175" s="2" t="s">
        <v>940</v>
      </c>
      <c r="F175" s="2" t="s">
        <v>514</v>
      </c>
      <c r="H175" s="2" t="s">
        <v>512</v>
      </c>
      <c r="I175" s="2" t="s">
        <v>56</v>
      </c>
      <c r="J175" s="2" t="s">
        <v>37</v>
      </c>
      <c r="K175" s="2" t="s">
        <v>38</v>
      </c>
      <c r="L175" s="2" t="s">
        <v>37</v>
      </c>
      <c r="M175" s="2" t="str">
        <f>VLOOKUP(C175,seqConcatenated!$A$1:$B$124,2, FALSE)</f>
        <v>MT119525 and MT119610 are merged</v>
      </c>
      <c r="N175" s="2" t="str">
        <f>IF(ISNA(Table1[[#This Row],[Column2]]),Table1[[#This Row],[comments2]], IF(O175="NA",M175,_xlfn.CONCAT(O175,"--",M175)))</f>
        <v>MT119525 and MT119610 are merged</v>
      </c>
      <c r="O175" s="2" t="s">
        <v>39</v>
      </c>
      <c r="P175" s="2" t="s">
        <v>40</v>
      </c>
      <c r="Q175" s="2" t="s">
        <v>41</v>
      </c>
      <c r="S175" s="2" t="s">
        <v>42</v>
      </c>
      <c r="T175" s="2" t="s">
        <v>43</v>
      </c>
      <c r="U175" s="2" t="s">
        <v>44</v>
      </c>
      <c r="V175" s="2" t="s">
        <v>45</v>
      </c>
      <c r="W175" s="2">
        <v>735</v>
      </c>
      <c r="X175" s="2" t="s">
        <v>46</v>
      </c>
      <c r="Y175" s="2" t="s">
        <v>47</v>
      </c>
      <c r="AA175" s="2" t="s">
        <v>48</v>
      </c>
      <c r="AB175" s="2">
        <v>1</v>
      </c>
      <c r="AC175" s="2" t="s">
        <v>482</v>
      </c>
      <c r="AD175" s="2" t="s">
        <v>50</v>
      </c>
      <c r="AE175" s="4">
        <v>10.056783299999999</v>
      </c>
      <c r="AF175" s="4">
        <v>-10.665833299999999</v>
      </c>
      <c r="AG175" s="2" t="s">
        <v>51</v>
      </c>
      <c r="AI175" s="2" t="s">
        <v>52</v>
      </c>
      <c r="AJ175" s="2" t="str">
        <f>IF(Table1[[#This Row],[Host]]="Mastomys natalensis", "Mn", IF(Table1[[#This Row],[Host]]="Homo Sapiens","Human","PROBLEMMEMEMMEMEMEMM"))</f>
        <v>Mn</v>
      </c>
      <c r="AK175" s="2" t="s">
        <v>53</v>
      </c>
      <c r="AL175" s="5">
        <v>41732</v>
      </c>
      <c r="AM175" s="6" t="s">
        <v>1081</v>
      </c>
      <c r="AO175" s="2" t="s">
        <v>515</v>
      </c>
    </row>
    <row r="176" spans="1:41" x14ac:dyDescent="0.3">
      <c r="A176" s="2">
        <v>67</v>
      </c>
      <c r="B176" s="2" t="str">
        <f>_xlfn.CONCAT(Table1[[#This Row],[Acession_no_.1]],"|",Table1[[#This Row],[Strain name]],"|",Table1[[#This Row],[host_simple]],"|",Table1[[#This Row],[Country]],"|",Table1[[#This Row],[date_text]])</f>
        <v>MT119526|Sok-49|Mn|Guinea|2014-04-03</v>
      </c>
      <c r="C176" s="2" t="s">
        <v>1327</v>
      </c>
      <c r="D176" s="2" t="str">
        <f>IF(ISNUMBER(MATCH(B176,finalSelection!$A$1:$A$497,0)),"yes","no")</f>
        <v>yes</v>
      </c>
      <c r="E176" s="2" t="s">
        <v>941</v>
      </c>
      <c r="F176" s="2" t="s">
        <v>516</v>
      </c>
      <c r="H176" s="2" t="s">
        <v>517</v>
      </c>
      <c r="I176" s="2" t="s">
        <v>36</v>
      </c>
      <c r="J176" s="2" t="s">
        <v>37</v>
      </c>
      <c r="K176" s="2" t="s">
        <v>38</v>
      </c>
      <c r="L176" s="2" t="s">
        <v>37</v>
      </c>
      <c r="M176" s="2" t="str">
        <f>VLOOKUP(C176,seqConcatenated!$A$1:$B$124,2, FALSE)</f>
        <v>MT119526 and MT119611 are merged</v>
      </c>
      <c r="N176" s="2" t="str">
        <f>IF(ISNA(Table1[[#This Row],[Column2]]),Table1[[#This Row],[comments2]], IF(O176="NA",M176,_xlfn.CONCAT(O176,"--",M176)))</f>
        <v>MT119526 and MT119611 are merged</v>
      </c>
      <c r="O176" s="2" t="s">
        <v>39</v>
      </c>
      <c r="P176" s="2" t="s">
        <v>40</v>
      </c>
      <c r="Q176" s="2" t="s">
        <v>41</v>
      </c>
      <c r="S176" s="2" t="s">
        <v>42</v>
      </c>
      <c r="T176" s="2" t="s">
        <v>43</v>
      </c>
      <c r="U176" s="2" t="s">
        <v>44</v>
      </c>
      <c r="V176" s="2" t="s">
        <v>45</v>
      </c>
      <c r="W176" s="2">
        <v>888</v>
      </c>
      <c r="X176" s="2" t="s">
        <v>46</v>
      </c>
      <c r="Y176" s="2" t="s">
        <v>47</v>
      </c>
      <c r="AA176" s="2" t="s">
        <v>48</v>
      </c>
      <c r="AB176" s="2">
        <v>1</v>
      </c>
      <c r="AC176" s="2" t="s">
        <v>482</v>
      </c>
      <c r="AD176" s="2" t="s">
        <v>50</v>
      </c>
      <c r="AE176" s="4">
        <v>10.056783299999999</v>
      </c>
      <c r="AF176" s="4">
        <v>-10.665833299999999</v>
      </c>
      <c r="AG176" s="2" t="s">
        <v>51</v>
      </c>
      <c r="AI176" s="2" t="s">
        <v>52</v>
      </c>
      <c r="AJ176" s="2" t="str">
        <f>IF(Table1[[#This Row],[Host]]="Mastomys natalensis", "Mn", IF(Table1[[#This Row],[Host]]="Homo Sapiens","Human","PROBLEMMEMEMMEMEMEMM"))</f>
        <v>Mn</v>
      </c>
      <c r="AK176" s="2" t="s">
        <v>53</v>
      </c>
      <c r="AL176" s="5">
        <v>41732</v>
      </c>
      <c r="AM176" s="6" t="s">
        <v>1081</v>
      </c>
      <c r="AO176" s="2" t="s">
        <v>518</v>
      </c>
    </row>
    <row r="177" spans="1:41" x14ac:dyDescent="0.3">
      <c r="A177" s="2">
        <v>152</v>
      </c>
      <c r="B177" s="2" t="str">
        <f>_xlfn.CONCAT(Table1[[#This Row],[Acession_no_.1]],"|",Table1[[#This Row],[Strain name]],"|",Table1[[#This Row],[host_simple]],"|",Table1[[#This Row],[Country]],"|",Table1[[#This Row],[date_text]])</f>
        <v>MT119611|Sok-49|Mn|Guinea|2014-04-03</v>
      </c>
      <c r="C177" s="2" t="s">
        <v>1327</v>
      </c>
      <c r="D177" s="2" t="str">
        <f>IF(ISNUMBER(MATCH(B177,finalSelection!$A$1:$A$497,0)),"yes","no")</f>
        <v>no</v>
      </c>
      <c r="E177" s="2" t="s">
        <v>942</v>
      </c>
      <c r="F177" s="2" t="s">
        <v>519</v>
      </c>
      <c r="H177" s="2" t="s">
        <v>517</v>
      </c>
      <c r="I177" s="2" t="s">
        <v>56</v>
      </c>
      <c r="J177" s="2" t="s">
        <v>37</v>
      </c>
      <c r="K177" s="2" t="s">
        <v>38</v>
      </c>
      <c r="L177" s="2" t="s">
        <v>37</v>
      </c>
      <c r="M177" s="2" t="str">
        <f>VLOOKUP(C177,seqConcatenated!$A$1:$B$124,2, FALSE)</f>
        <v>MT119526 and MT119611 are merged</v>
      </c>
      <c r="N177" s="2" t="str">
        <f>IF(ISNA(Table1[[#This Row],[Column2]]),Table1[[#This Row],[comments2]], IF(O177="NA",M177,_xlfn.CONCAT(O177,"--",M177)))</f>
        <v>MT119526 and MT119611 are merged</v>
      </c>
      <c r="O177" s="2" t="s">
        <v>39</v>
      </c>
      <c r="P177" s="2" t="s">
        <v>40</v>
      </c>
      <c r="Q177" s="2" t="s">
        <v>41</v>
      </c>
      <c r="S177" s="2" t="s">
        <v>42</v>
      </c>
      <c r="T177" s="2" t="s">
        <v>43</v>
      </c>
      <c r="U177" s="2" t="s">
        <v>44</v>
      </c>
      <c r="V177" s="2" t="s">
        <v>45</v>
      </c>
      <c r="W177" s="2">
        <v>735</v>
      </c>
      <c r="X177" s="2" t="s">
        <v>46</v>
      </c>
      <c r="Y177" s="2" t="s">
        <v>47</v>
      </c>
      <c r="AA177" s="2" t="s">
        <v>48</v>
      </c>
      <c r="AB177" s="2">
        <v>1</v>
      </c>
      <c r="AC177" s="2" t="s">
        <v>482</v>
      </c>
      <c r="AD177" s="2" t="s">
        <v>50</v>
      </c>
      <c r="AE177" s="4">
        <v>10.056783299999999</v>
      </c>
      <c r="AF177" s="4">
        <v>-10.665833299999999</v>
      </c>
      <c r="AG177" s="2" t="s">
        <v>51</v>
      </c>
      <c r="AI177" s="2" t="s">
        <v>52</v>
      </c>
      <c r="AJ177" s="2" t="str">
        <f>IF(Table1[[#This Row],[Host]]="Mastomys natalensis", "Mn", IF(Table1[[#This Row],[Host]]="Homo Sapiens","Human","PROBLEMMEMEMMEMEMEMM"))</f>
        <v>Mn</v>
      </c>
      <c r="AK177" s="2" t="s">
        <v>53</v>
      </c>
      <c r="AL177" s="5">
        <v>41732</v>
      </c>
      <c r="AM177" s="6" t="s">
        <v>1081</v>
      </c>
      <c r="AO177" s="2" t="s">
        <v>520</v>
      </c>
    </row>
    <row r="178" spans="1:41" x14ac:dyDescent="0.3">
      <c r="A178" s="2">
        <v>68</v>
      </c>
      <c r="B178" s="2" t="str">
        <f>_xlfn.CONCAT(Table1[[#This Row],[Acession_no_.1]],"|",Table1[[#This Row],[Strain name]],"|",Table1[[#This Row],[host_simple]],"|",Table1[[#This Row],[Country]],"|",Table1[[#This Row],[date_text]])</f>
        <v>MT119527|Sok-58|Mn|Guinea|2014-04-04</v>
      </c>
      <c r="C178" s="2" t="s">
        <v>1328</v>
      </c>
      <c r="D178" s="2" t="str">
        <f>IF(ISNUMBER(MATCH(B178,finalSelection!$A$1:$A$497,0)),"yes","no")</f>
        <v>yes</v>
      </c>
      <c r="E178" s="2" t="s">
        <v>943</v>
      </c>
      <c r="F178" s="2" t="s">
        <v>521</v>
      </c>
      <c r="H178" s="2" t="s">
        <v>522</v>
      </c>
      <c r="I178" s="2" t="s">
        <v>36</v>
      </c>
      <c r="J178" s="2" t="s">
        <v>37</v>
      </c>
      <c r="K178" s="2" t="s">
        <v>38</v>
      </c>
      <c r="L178" s="2" t="s">
        <v>37</v>
      </c>
      <c r="M178" s="2" t="str">
        <f>VLOOKUP(C178,seqConcatenated!$A$1:$B$124,2, FALSE)</f>
        <v>MT119527 and MT119612 are merged</v>
      </c>
      <c r="N178" s="2" t="str">
        <f>IF(ISNA(Table1[[#This Row],[Column2]]),Table1[[#This Row],[comments2]], IF(O178="NA",M178,_xlfn.CONCAT(O178,"--",M178)))</f>
        <v>MT119527 and MT119612 are merged</v>
      </c>
      <c r="O178" s="2" t="s">
        <v>39</v>
      </c>
      <c r="P178" s="2" t="s">
        <v>40</v>
      </c>
      <c r="Q178" s="2" t="s">
        <v>41</v>
      </c>
      <c r="S178" s="2" t="s">
        <v>42</v>
      </c>
      <c r="T178" s="2" t="s">
        <v>43</v>
      </c>
      <c r="U178" s="2" t="s">
        <v>44</v>
      </c>
      <c r="V178" s="2" t="s">
        <v>45</v>
      </c>
      <c r="W178" s="2">
        <v>888</v>
      </c>
      <c r="X178" s="2" t="s">
        <v>46</v>
      </c>
      <c r="Y178" s="2" t="s">
        <v>47</v>
      </c>
      <c r="AA178" s="2" t="s">
        <v>48</v>
      </c>
      <c r="AB178" s="2">
        <v>1</v>
      </c>
      <c r="AC178" s="2" t="s">
        <v>482</v>
      </c>
      <c r="AD178" s="2" t="s">
        <v>50</v>
      </c>
      <c r="AE178" s="4">
        <v>10.056783299999999</v>
      </c>
      <c r="AF178" s="4">
        <v>-10.665833299999999</v>
      </c>
      <c r="AG178" s="2" t="s">
        <v>51</v>
      </c>
      <c r="AI178" s="2" t="s">
        <v>52</v>
      </c>
      <c r="AJ178" s="2" t="str">
        <f>IF(Table1[[#This Row],[Host]]="Mastomys natalensis", "Mn", IF(Table1[[#This Row],[Host]]="Homo Sapiens","Human","PROBLEMMEMEMMEMEMEMM"))</f>
        <v>Mn</v>
      </c>
      <c r="AK178" s="2" t="s">
        <v>53</v>
      </c>
      <c r="AL178" s="5">
        <v>41733</v>
      </c>
      <c r="AM178" s="6" t="s">
        <v>1082</v>
      </c>
      <c r="AO178" s="2" t="s">
        <v>523</v>
      </c>
    </row>
    <row r="179" spans="1:41" x14ac:dyDescent="0.3">
      <c r="A179" s="2">
        <v>153</v>
      </c>
      <c r="B179" s="2" t="str">
        <f>_xlfn.CONCAT(Table1[[#This Row],[Acession_no_.1]],"|",Table1[[#This Row],[Strain name]],"|",Table1[[#This Row],[host_simple]],"|",Table1[[#This Row],[Country]],"|",Table1[[#This Row],[date_text]])</f>
        <v>MT119612|Sok-58|Mn|Guinea|2014-04-04</v>
      </c>
      <c r="C179" s="2" t="s">
        <v>1328</v>
      </c>
      <c r="D179" s="2" t="str">
        <f>IF(ISNUMBER(MATCH(B179,finalSelection!$A$1:$A$497,0)),"yes","no")</f>
        <v>no</v>
      </c>
      <c r="E179" s="2" t="s">
        <v>944</v>
      </c>
      <c r="F179" s="2" t="s">
        <v>524</v>
      </c>
      <c r="H179" s="2" t="s">
        <v>522</v>
      </c>
      <c r="I179" s="2" t="s">
        <v>56</v>
      </c>
      <c r="J179" s="2" t="s">
        <v>37</v>
      </c>
      <c r="K179" s="2" t="s">
        <v>38</v>
      </c>
      <c r="L179" s="2" t="s">
        <v>37</v>
      </c>
      <c r="M179" s="2" t="str">
        <f>VLOOKUP(C179,seqConcatenated!$A$1:$B$124,2, FALSE)</f>
        <v>MT119527 and MT119612 are merged</v>
      </c>
      <c r="N179" s="2" t="str">
        <f>IF(ISNA(Table1[[#This Row],[Column2]]),Table1[[#This Row],[comments2]], IF(O179="NA",M179,_xlfn.CONCAT(O179,"--",M179)))</f>
        <v>MT119527 and MT119612 are merged</v>
      </c>
      <c r="O179" s="2" t="s">
        <v>39</v>
      </c>
      <c r="P179" s="2" t="s">
        <v>40</v>
      </c>
      <c r="Q179" s="2" t="s">
        <v>41</v>
      </c>
      <c r="S179" s="2" t="s">
        <v>42</v>
      </c>
      <c r="T179" s="2" t="s">
        <v>43</v>
      </c>
      <c r="U179" s="2" t="s">
        <v>44</v>
      </c>
      <c r="V179" s="2" t="s">
        <v>45</v>
      </c>
      <c r="W179" s="2">
        <v>735</v>
      </c>
      <c r="X179" s="2" t="s">
        <v>46</v>
      </c>
      <c r="Y179" s="2" t="s">
        <v>47</v>
      </c>
      <c r="AA179" s="2" t="s">
        <v>48</v>
      </c>
      <c r="AB179" s="2">
        <v>1</v>
      </c>
      <c r="AC179" s="2" t="s">
        <v>482</v>
      </c>
      <c r="AD179" s="2" t="s">
        <v>50</v>
      </c>
      <c r="AE179" s="4">
        <v>10.056783299999999</v>
      </c>
      <c r="AF179" s="4">
        <v>-10.665833299999999</v>
      </c>
      <c r="AG179" s="2" t="s">
        <v>51</v>
      </c>
      <c r="AI179" s="2" t="s">
        <v>52</v>
      </c>
      <c r="AJ179" s="2" t="str">
        <f>IF(Table1[[#This Row],[Host]]="Mastomys natalensis", "Mn", IF(Table1[[#This Row],[Host]]="Homo Sapiens","Human","PROBLEMMEMEMMEMEMEMM"))</f>
        <v>Mn</v>
      </c>
      <c r="AK179" s="2" t="s">
        <v>53</v>
      </c>
      <c r="AL179" s="5">
        <v>41733</v>
      </c>
      <c r="AM179" s="6" t="s">
        <v>1082</v>
      </c>
      <c r="AO179" s="2" t="s">
        <v>525</v>
      </c>
    </row>
    <row r="180" spans="1:41" x14ac:dyDescent="0.3">
      <c r="A180" s="2">
        <v>69</v>
      </c>
      <c r="B180" s="2" t="str">
        <f>_xlfn.CONCAT(Table1[[#This Row],[Acession_no_.1]],"|",Table1[[#This Row],[Strain name]],"|",Table1[[#This Row],[host_simple]],"|",Table1[[#This Row],[Country]],"|",Table1[[#This Row],[date_text]])</f>
        <v>MT119528|Sok-62|Mn|Guinea|2014-04-04</v>
      </c>
      <c r="C180" s="2" t="s">
        <v>1329</v>
      </c>
      <c r="D180" s="2" t="str">
        <f>IF(ISNUMBER(MATCH(B180,finalSelection!$A$1:$A$497,0)),"yes","no")</f>
        <v>no</v>
      </c>
      <c r="E180" s="2" t="s">
        <v>945</v>
      </c>
      <c r="F180" s="2" t="s">
        <v>526</v>
      </c>
      <c r="H180" s="2" t="s">
        <v>527</v>
      </c>
      <c r="I180" s="2" t="s">
        <v>36</v>
      </c>
      <c r="J180" s="2" t="s">
        <v>37</v>
      </c>
      <c r="K180" s="2" t="s">
        <v>38</v>
      </c>
      <c r="L180" s="2" t="s">
        <v>37</v>
      </c>
      <c r="M180" s="2" t="str">
        <f>VLOOKUP(C180,seqConcatenated!$A$1:$B$124,2, FALSE)</f>
        <v>MT119528 and MT119613 are merged</v>
      </c>
      <c r="N180" s="2" t="str">
        <f>IF(ISNA(Table1[[#This Row],[Column2]]),Table1[[#This Row],[comments2]], IF(O180="NA",M180,_xlfn.CONCAT(O180,"--",M180)))</f>
        <v>MT119528 and MT119613 are merged</v>
      </c>
      <c r="O180" s="2" t="s">
        <v>39</v>
      </c>
      <c r="P180" s="2" t="s">
        <v>40</v>
      </c>
      <c r="Q180" s="2" t="s">
        <v>41</v>
      </c>
      <c r="S180" s="2" t="s">
        <v>42</v>
      </c>
      <c r="T180" s="2" t="s">
        <v>43</v>
      </c>
      <c r="U180" s="2" t="s">
        <v>44</v>
      </c>
      <c r="V180" s="2" t="s">
        <v>45</v>
      </c>
      <c r="W180" s="2">
        <v>874</v>
      </c>
      <c r="X180" s="2" t="s">
        <v>46</v>
      </c>
      <c r="Y180" s="2" t="s">
        <v>47</v>
      </c>
      <c r="AA180" s="2" t="s">
        <v>48</v>
      </c>
      <c r="AB180" s="2">
        <v>1</v>
      </c>
      <c r="AC180" s="2" t="s">
        <v>482</v>
      </c>
      <c r="AD180" s="2" t="s">
        <v>50</v>
      </c>
      <c r="AE180" s="4">
        <v>10.056783299999999</v>
      </c>
      <c r="AF180" s="4">
        <v>-10.665833299999999</v>
      </c>
      <c r="AG180" s="2" t="s">
        <v>51</v>
      </c>
      <c r="AI180" s="2" t="s">
        <v>52</v>
      </c>
      <c r="AJ180" s="2" t="str">
        <f>IF(Table1[[#This Row],[Host]]="Mastomys natalensis", "Mn", IF(Table1[[#This Row],[Host]]="Homo Sapiens","Human","PROBLEMMEMEMMEMEMEMM"))</f>
        <v>Mn</v>
      </c>
      <c r="AK180" s="2" t="s">
        <v>53</v>
      </c>
      <c r="AL180" s="5">
        <v>41733</v>
      </c>
      <c r="AM180" s="6" t="s">
        <v>1082</v>
      </c>
      <c r="AO180" s="2" t="s">
        <v>528</v>
      </c>
    </row>
    <row r="181" spans="1:41" x14ac:dyDescent="0.3">
      <c r="A181" s="2">
        <v>154</v>
      </c>
      <c r="B181" s="2" t="str">
        <f>_xlfn.CONCAT(Table1[[#This Row],[Acession_no_.1]],"|",Table1[[#This Row],[Strain name]],"|",Table1[[#This Row],[host_simple]],"|",Table1[[#This Row],[Country]],"|",Table1[[#This Row],[date_text]])</f>
        <v>MT119613|Sok-62|Mn|Guinea|2014-04-04</v>
      </c>
      <c r="C181" s="2" t="s">
        <v>1329</v>
      </c>
      <c r="D181" s="2" t="str">
        <f>IF(ISNUMBER(MATCH(B181,finalSelection!$A$1:$A$497,0)),"yes","no")</f>
        <v>no</v>
      </c>
      <c r="E181" s="2" t="s">
        <v>946</v>
      </c>
      <c r="F181" s="2" t="s">
        <v>529</v>
      </c>
      <c r="H181" s="2" t="s">
        <v>527</v>
      </c>
      <c r="I181" s="2" t="s">
        <v>56</v>
      </c>
      <c r="J181" s="2" t="s">
        <v>37</v>
      </c>
      <c r="K181" s="2" t="s">
        <v>38</v>
      </c>
      <c r="L181" s="2" t="s">
        <v>37</v>
      </c>
      <c r="M181" s="2" t="str">
        <f>VLOOKUP(C181,seqConcatenated!$A$1:$B$124,2, FALSE)</f>
        <v>MT119528 and MT119613 are merged</v>
      </c>
      <c r="N181" s="2" t="str">
        <f>IF(ISNA(Table1[[#This Row],[Column2]]),Table1[[#This Row],[comments2]], IF(O181="NA",M181,_xlfn.CONCAT(O181,"--",M181)))</f>
        <v>MT119528 and MT119613 are merged</v>
      </c>
      <c r="O181" s="2" t="s">
        <v>39</v>
      </c>
      <c r="P181" s="2" t="s">
        <v>40</v>
      </c>
      <c r="Q181" s="2" t="s">
        <v>41</v>
      </c>
      <c r="S181" s="2" t="s">
        <v>42</v>
      </c>
      <c r="T181" s="2" t="s">
        <v>43</v>
      </c>
      <c r="U181" s="2" t="s">
        <v>44</v>
      </c>
      <c r="V181" s="2" t="s">
        <v>45</v>
      </c>
      <c r="W181" s="2">
        <v>735</v>
      </c>
      <c r="X181" s="2" t="s">
        <v>46</v>
      </c>
      <c r="Y181" s="2" t="s">
        <v>47</v>
      </c>
      <c r="AA181" s="2" t="s">
        <v>48</v>
      </c>
      <c r="AB181" s="2">
        <v>1</v>
      </c>
      <c r="AC181" s="2" t="s">
        <v>482</v>
      </c>
      <c r="AD181" s="2" t="s">
        <v>50</v>
      </c>
      <c r="AE181" s="4">
        <v>10.056783299999999</v>
      </c>
      <c r="AF181" s="4">
        <v>-10.665833299999999</v>
      </c>
      <c r="AG181" s="2" t="s">
        <v>51</v>
      </c>
      <c r="AI181" s="2" t="s">
        <v>52</v>
      </c>
      <c r="AJ181" s="2" t="str">
        <f>IF(Table1[[#This Row],[Host]]="Mastomys natalensis", "Mn", IF(Table1[[#This Row],[Host]]="Homo Sapiens","Human","PROBLEMMEMEMMEMEMEMM"))</f>
        <v>Mn</v>
      </c>
      <c r="AK181" s="2" t="s">
        <v>53</v>
      </c>
      <c r="AL181" s="5">
        <v>41733</v>
      </c>
      <c r="AM181" s="6" t="s">
        <v>1082</v>
      </c>
      <c r="AO181" s="2" t="s">
        <v>530</v>
      </c>
    </row>
    <row r="182" spans="1:41" x14ac:dyDescent="0.3">
      <c r="A182" s="2">
        <v>70</v>
      </c>
      <c r="B182" s="2" t="str">
        <f>_xlfn.CONCAT(Table1[[#This Row],[Acession_no_.1]],"|",Table1[[#This Row],[Strain name]],"|",Table1[[#This Row],[host_simple]],"|",Table1[[#This Row],[Country]],"|",Table1[[#This Row],[date_text]])</f>
        <v>MT119529|Sok-68|Mn|Guinea|2014-04-04</v>
      </c>
      <c r="C182" s="2" t="s">
        <v>1330</v>
      </c>
      <c r="D182" s="2" t="str">
        <f>IF(ISNUMBER(MATCH(B182,finalSelection!$A$1:$A$497,0)),"yes","no")</f>
        <v>no</v>
      </c>
      <c r="E182" s="2" t="s">
        <v>947</v>
      </c>
      <c r="F182" s="2" t="s">
        <v>531</v>
      </c>
      <c r="H182" s="2" t="s">
        <v>532</v>
      </c>
      <c r="I182" s="2" t="s">
        <v>36</v>
      </c>
      <c r="J182" s="2" t="s">
        <v>37</v>
      </c>
      <c r="K182" s="2" t="s">
        <v>38</v>
      </c>
      <c r="L182" s="2" t="s">
        <v>37</v>
      </c>
      <c r="M182" s="2" t="str">
        <f>VLOOKUP(C182,seqConcatenated!$A$1:$B$124,2, FALSE)</f>
        <v>MT119529 and MT119614 are merged</v>
      </c>
      <c r="N182" s="2" t="str">
        <f>IF(ISNA(Table1[[#This Row],[Column2]]),Table1[[#This Row],[comments2]], IF(O182="NA",M182,_xlfn.CONCAT(O182,"--",M182)))</f>
        <v>MT119529 and MT119614 are merged</v>
      </c>
      <c r="O182" s="2" t="s">
        <v>39</v>
      </c>
      <c r="P182" s="2" t="s">
        <v>40</v>
      </c>
      <c r="Q182" s="2" t="s">
        <v>41</v>
      </c>
      <c r="S182" s="2" t="s">
        <v>42</v>
      </c>
      <c r="T182" s="2" t="s">
        <v>43</v>
      </c>
      <c r="U182" s="2" t="s">
        <v>44</v>
      </c>
      <c r="V182" s="2" t="s">
        <v>45</v>
      </c>
      <c r="W182" s="2">
        <v>888</v>
      </c>
      <c r="X182" s="2" t="s">
        <v>46</v>
      </c>
      <c r="Y182" s="2" t="s">
        <v>47</v>
      </c>
      <c r="AA182" s="2" t="s">
        <v>48</v>
      </c>
      <c r="AB182" s="2">
        <v>1</v>
      </c>
      <c r="AC182" s="2" t="s">
        <v>482</v>
      </c>
      <c r="AD182" s="2" t="s">
        <v>50</v>
      </c>
      <c r="AE182" s="4">
        <v>10.056783299999999</v>
      </c>
      <c r="AF182" s="4">
        <v>-10.665833299999999</v>
      </c>
      <c r="AG182" s="2" t="s">
        <v>51</v>
      </c>
      <c r="AI182" s="2" t="s">
        <v>52</v>
      </c>
      <c r="AJ182" s="2" t="str">
        <f>IF(Table1[[#This Row],[Host]]="Mastomys natalensis", "Mn", IF(Table1[[#This Row],[Host]]="Homo Sapiens","Human","PROBLEMMEMEMMEMEMEMM"))</f>
        <v>Mn</v>
      </c>
      <c r="AK182" s="2" t="s">
        <v>53</v>
      </c>
      <c r="AL182" s="5">
        <v>41733</v>
      </c>
      <c r="AM182" s="6" t="s">
        <v>1082</v>
      </c>
      <c r="AO182" s="2" t="s">
        <v>533</v>
      </c>
    </row>
    <row r="183" spans="1:41" x14ac:dyDescent="0.3">
      <c r="A183" s="2">
        <v>155</v>
      </c>
      <c r="B183" s="2" t="str">
        <f>_xlfn.CONCAT(Table1[[#This Row],[Acession_no_.1]],"|",Table1[[#This Row],[Strain name]],"|",Table1[[#This Row],[host_simple]],"|",Table1[[#This Row],[Country]],"|",Table1[[#This Row],[date_text]])</f>
        <v>MT119614|Sok-68|Mn|Guinea|2014-04-04</v>
      </c>
      <c r="C183" s="2" t="s">
        <v>1330</v>
      </c>
      <c r="D183" s="2" t="str">
        <f>IF(ISNUMBER(MATCH(B183,finalSelection!$A$1:$A$497,0)),"yes","no")</f>
        <v>no</v>
      </c>
      <c r="E183" s="2" t="s">
        <v>948</v>
      </c>
      <c r="F183" s="2" t="s">
        <v>534</v>
      </c>
      <c r="H183" s="2" t="s">
        <v>532</v>
      </c>
      <c r="I183" s="2" t="s">
        <v>56</v>
      </c>
      <c r="J183" s="2" t="s">
        <v>37</v>
      </c>
      <c r="K183" s="2" t="s">
        <v>38</v>
      </c>
      <c r="L183" s="2" t="s">
        <v>37</v>
      </c>
      <c r="M183" s="2" t="str">
        <f>VLOOKUP(C183,seqConcatenated!$A$1:$B$124,2, FALSE)</f>
        <v>MT119529 and MT119614 are merged</v>
      </c>
      <c r="N183" s="2" t="str">
        <f>IF(ISNA(Table1[[#This Row],[Column2]]),Table1[[#This Row],[comments2]], IF(O183="NA",M183,_xlfn.CONCAT(O183,"--",M183)))</f>
        <v>MT119529 and MT119614 are merged</v>
      </c>
      <c r="O183" s="2" t="s">
        <v>39</v>
      </c>
      <c r="P183" s="2" t="s">
        <v>40</v>
      </c>
      <c r="Q183" s="2" t="s">
        <v>41</v>
      </c>
      <c r="S183" s="2" t="s">
        <v>42</v>
      </c>
      <c r="T183" s="2" t="s">
        <v>43</v>
      </c>
      <c r="U183" s="2" t="s">
        <v>44</v>
      </c>
      <c r="V183" s="2" t="s">
        <v>45</v>
      </c>
      <c r="W183" s="2">
        <v>693</v>
      </c>
      <c r="X183" s="2" t="s">
        <v>46</v>
      </c>
      <c r="Y183" s="2" t="s">
        <v>47</v>
      </c>
      <c r="AA183" s="2" t="s">
        <v>48</v>
      </c>
      <c r="AB183" s="2">
        <v>1</v>
      </c>
      <c r="AC183" s="2" t="s">
        <v>482</v>
      </c>
      <c r="AD183" s="2" t="s">
        <v>50</v>
      </c>
      <c r="AE183" s="4">
        <v>10.056783299999999</v>
      </c>
      <c r="AF183" s="4">
        <v>-10.665833299999999</v>
      </c>
      <c r="AG183" s="2" t="s">
        <v>51</v>
      </c>
      <c r="AI183" s="2" t="s">
        <v>52</v>
      </c>
      <c r="AJ183" s="2" t="str">
        <f>IF(Table1[[#This Row],[Host]]="Mastomys natalensis", "Mn", IF(Table1[[#This Row],[Host]]="Homo Sapiens","Human","PROBLEMMEMEMMEMEMEMM"))</f>
        <v>Mn</v>
      </c>
      <c r="AK183" s="2" t="s">
        <v>53</v>
      </c>
      <c r="AL183" s="5">
        <v>41733</v>
      </c>
      <c r="AM183" s="6" t="s">
        <v>1082</v>
      </c>
      <c r="AO183" s="2" t="s">
        <v>535</v>
      </c>
    </row>
    <row r="184" spans="1:41" x14ac:dyDescent="0.3">
      <c r="A184" s="2">
        <v>71</v>
      </c>
      <c r="B184" s="2" t="str">
        <f>_xlfn.CONCAT(Table1[[#This Row],[Acession_no_.1]],"|",Table1[[#This Row],[Strain name]],"|",Table1[[#This Row],[host_simple]],"|",Table1[[#This Row],[Country]],"|",Table1[[#This Row],[date_text]])</f>
        <v>MT119530|Sok-76|Mn|Guinea|2014-04-05</v>
      </c>
      <c r="C184" s="2" t="s">
        <v>1331</v>
      </c>
      <c r="D184" s="2" t="str">
        <f>IF(ISNUMBER(MATCH(B184,finalSelection!$A$1:$A$497,0)),"yes","no")</f>
        <v>yes</v>
      </c>
      <c r="E184" s="2" t="s">
        <v>949</v>
      </c>
      <c r="F184" s="2" t="s">
        <v>536</v>
      </c>
      <c r="H184" s="2" t="s">
        <v>537</v>
      </c>
      <c r="I184" s="2" t="s">
        <v>36</v>
      </c>
      <c r="J184" s="2" t="s">
        <v>37</v>
      </c>
      <c r="K184" s="2" t="s">
        <v>38</v>
      </c>
      <c r="L184" s="2" t="s">
        <v>37</v>
      </c>
      <c r="M184" s="2" t="str">
        <f>VLOOKUP(C184,seqConcatenated!$A$1:$B$124,2, FALSE)</f>
        <v>MT119530 and MT119615 are merged</v>
      </c>
      <c r="N184" s="2" t="str">
        <f>IF(ISNA(Table1[[#This Row],[Column2]]),Table1[[#This Row],[comments2]], IF(O184="NA",M184,_xlfn.CONCAT(O184,"--",M184)))</f>
        <v>MT119530 and MT119615 are merged</v>
      </c>
      <c r="O184" s="2" t="s">
        <v>39</v>
      </c>
      <c r="P184" s="2" t="s">
        <v>40</v>
      </c>
      <c r="Q184" s="2" t="s">
        <v>41</v>
      </c>
      <c r="S184" s="2" t="s">
        <v>42</v>
      </c>
      <c r="T184" s="2" t="s">
        <v>43</v>
      </c>
      <c r="U184" s="2" t="s">
        <v>44</v>
      </c>
      <c r="V184" s="2" t="s">
        <v>45</v>
      </c>
      <c r="W184" s="2">
        <v>888</v>
      </c>
      <c r="X184" s="2" t="s">
        <v>46</v>
      </c>
      <c r="Y184" s="2" t="s">
        <v>47</v>
      </c>
      <c r="AA184" s="2" t="s">
        <v>48</v>
      </c>
      <c r="AB184" s="2">
        <v>1</v>
      </c>
      <c r="AC184" s="2" t="s">
        <v>482</v>
      </c>
      <c r="AD184" s="2" t="s">
        <v>50</v>
      </c>
      <c r="AE184" s="4">
        <v>10.056783299999999</v>
      </c>
      <c r="AF184" s="4">
        <v>-10.665833299999999</v>
      </c>
      <c r="AG184" s="2" t="s">
        <v>51</v>
      </c>
      <c r="AI184" s="2" t="s">
        <v>52</v>
      </c>
      <c r="AJ184" s="2" t="str">
        <f>IF(Table1[[#This Row],[Host]]="Mastomys natalensis", "Mn", IF(Table1[[#This Row],[Host]]="Homo Sapiens","Human","PROBLEMMEMEMMEMEMEMM"))</f>
        <v>Mn</v>
      </c>
      <c r="AK184" s="2" t="s">
        <v>53</v>
      </c>
      <c r="AL184" s="5">
        <v>41734</v>
      </c>
      <c r="AM184" s="6" t="s">
        <v>1083</v>
      </c>
      <c r="AO184" s="2" t="s">
        <v>538</v>
      </c>
    </row>
    <row r="185" spans="1:41" x14ac:dyDescent="0.3">
      <c r="A185" s="2">
        <v>156</v>
      </c>
      <c r="B185" s="2" t="str">
        <f>_xlfn.CONCAT(Table1[[#This Row],[Acession_no_.1]],"|",Table1[[#This Row],[Strain name]],"|",Table1[[#This Row],[host_simple]],"|",Table1[[#This Row],[Country]],"|",Table1[[#This Row],[date_text]])</f>
        <v>MT119615|Sok-76|Mn|Guinea|2014-04-05</v>
      </c>
      <c r="C185" s="2" t="s">
        <v>1331</v>
      </c>
      <c r="D185" s="2" t="str">
        <f>IF(ISNUMBER(MATCH(B185,finalSelection!$A$1:$A$497,0)),"yes","no")</f>
        <v>no</v>
      </c>
      <c r="E185" s="2" t="s">
        <v>950</v>
      </c>
      <c r="F185" s="2" t="s">
        <v>539</v>
      </c>
      <c r="H185" s="2" t="s">
        <v>537</v>
      </c>
      <c r="I185" s="2" t="s">
        <v>56</v>
      </c>
      <c r="J185" s="2" t="s">
        <v>37</v>
      </c>
      <c r="K185" s="2" t="s">
        <v>38</v>
      </c>
      <c r="L185" s="2" t="s">
        <v>37</v>
      </c>
      <c r="M185" s="2" t="str">
        <f>VLOOKUP(C185,seqConcatenated!$A$1:$B$124,2, FALSE)</f>
        <v>MT119530 and MT119615 are merged</v>
      </c>
      <c r="N185" s="2" t="str">
        <f>IF(ISNA(Table1[[#This Row],[Column2]]),Table1[[#This Row],[comments2]], IF(O185="NA",M185,_xlfn.CONCAT(O185,"--",M185)))</f>
        <v>MT119530 and MT119615 are merged</v>
      </c>
      <c r="O185" s="2" t="s">
        <v>39</v>
      </c>
      <c r="P185" s="2" t="s">
        <v>40</v>
      </c>
      <c r="Q185" s="2" t="s">
        <v>41</v>
      </c>
      <c r="S185" s="2" t="s">
        <v>42</v>
      </c>
      <c r="T185" s="2" t="s">
        <v>43</v>
      </c>
      <c r="U185" s="2" t="s">
        <v>44</v>
      </c>
      <c r="V185" s="2" t="s">
        <v>45</v>
      </c>
      <c r="W185" s="2">
        <v>735</v>
      </c>
      <c r="X185" s="2" t="s">
        <v>46</v>
      </c>
      <c r="Y185" s="2" t="s">
        <v>47</v>
      </c>
      <c r="AA185" s="2" t="s">
        <v>48</v>
      </c>
      <c r="AB185" s="2">
        <v>1</v>
      </c>
      <c r="AC185" s="2" t="s">
        <v>482</v>
      </c>
      <c r="AD185" s="2" t="s">
        <v>50</v>
      </c>
      <c r="AE185" s="4">
        <v>10.056783299999999</v>
      </c>
      <c r="AF185" s="4">
        <v>-10.665833299999999</v>
      </c>
      <c r="AG185" s="2" t="s">
        <v>51</v>
      </c>
      <c r="AI185" s="2" t="s">
        <v>52</v>
      </c>
      <c r="AJ185" s="2" t="str">
        <f>IF(Table1[[#This Row],[Host]]="Mastomys natalensis", "Mn", IF(Table1[[#This Row],[Host]]="Homo Sapiens","Human","PROBLEMMEMEMMEMEMEMM"))</f>
        <v>Mn</v>
      </c>
      <c r="AK185" s="2" t="s">
        <v>53</v>
      </c>
      <c r="AL185" s="5">
        <v>41734</v>
      </c>
      <c r="AM185" s="6" t="s">
        <v>1083</v>
      </c>
      <c r="AO185" s="2" t="s">
        <v>540</v>
      </c>
    </row>
    <row r="186" spans="1:41" x14ac:dyDescent="0.3">
      <c r="A186" s="2">
        <v>72</v>
      </c>
      <c r="B186" s="2" t="str">
        <f>_xlfn.CONCAT(Table1[[#This Row],[Acession_no_.1]],"|",Table1[[#This Row],[Strain name]],"|",Table1[[#This Row],[host_simple]],"|",Table1[[#This Row],[Country]],"|",Table1[[#This Row],[date_text]])</f>
        <v>MT119531|Sok-77|Mn|Guinea|2014-04-05</v>
      </c>
      <c r="C186" s="2" t="s">
        <v>1332</v>
      </c>
      <c r="D186" s="2" t="str">
        <f>IF(ISNUMBER(MATCH(B186,finalSelection!$A$1:$A$497,0)),"yes","no")</f>
        <v>no</v>
      </c>
      <c r="E186" s="2" t="s">
        <v>951</v>
      </c>
      <c r="F186" s="2" t="s">
        <v>541</v>
      </c>
      <c r="H186" s="2" t="s">
        <v>542</v>
      </c>
      <c r="I186" s="2" t="s">
        <v>36</v>
      </c>
      <c r="J186" s="2" t="s">
        <v>37</v>
      </c>
      <c r="K186" s="2" t="s">
        <v>38</v>
      </c>
      <c r="L186" s="2" t="s">
        <v>37</v>
      </c>
      <c r="M186" s="2" t="str">
        <f>VLOOKUP(C186,seqConcatenated!$A$1:$B$124,2, FALSE)</f>
        <v>MT119531 and MT119616 are merged</v>
      </c>
      <c r="N186" s="2" t="str">
        <f>IF(ISNA(Table1[[#This Row],[Column2]]),Table1[[#This Row],[comments2]], IF(O186="NA",M186,_xlfn.CONCAT(O186,"--",M186)))</f>
        <v>MT119531 and MT119616 are merged</v>
      </c>
      <c r="O186" s="2" t="s">
        <v>39</v>
      </c>
      <c r="P186" s="2" t="s">
        <v>40</v>
      </c>
      <c r="Q186" s="2" t="s">
        <v>41</v>
      </c>
      <c r="S186" s="2" t="s">
        <v>42</v>
      </c>
      <c r="T186" s="2" t="s">
        <v>43</v>
      </c>
      <c r="U186" s="2" t="s">
        <v>44</v>
      </c>
      <c r="V186" s="2" t="s">
        <v>45</v>
      </c>
      <c r="W186" s="2">
        <v>888</v>
      </c>
      <c r="X186" s="2" t="s">
        <v>46</v>
      </c>
      <c r="Y186" s="2" t="s">
        <v>47</v>
      </c>
      <c r="AA186" s="2" t="s">
        <v>48</v>
      </c>
      <c r="AB186" s="2">
        <v>1</v>
      </c>
      <c r="AC186" s="2" t="s">
        <v>482</v>
      </c>
      <c r="AD186" s="2" t="s">
        <v>50</v>
      </c>
      <c r="AE186" s="4">
        <v>10.056783299999999</v>
      </c>
      <c r="AF186" s="4">
        <v>-10.665833299999999</v>
      </c>
      <c r="AG186" s="2" t="s">
        <v>51</v>
      </c>
      <c r="AI186" s="2" t="s">
        <v>52</v>
      </c>
      <c r="AJ186" s="2" t="str">
        <f>IF(Table1[[#This Row],[Host]]="Mastomys natalensis", "Mn", IF(Table1[[#This Row],[Host]]="Homo Sapiens","Human","PROBLEMMEMEMMEMEMEMM"))</f>
        <v>Mn</v>
      </c>
      <c r="AK186" s="2" t="s">
        <v>53</v>
      </c>
      <c r="AL186" s="5">
        <v>41734</v>
      </c>
      <c r="AM186" s="6" t="s">
        <v>1083</v>
      </c>
      <c r="AO186" s="2" t="s">
        <v>543</v>
      </c>
    </row>
    <row r="187" spans="1:41" x14ac:dyDescent="0.3">
      <c r="A187" s="2">
        <v>157</v>
      </c>
      <c r="B187" s="2" t="str">
        <f>_xlfn.CONCAT(Table1[[#This Row],[Acession_no_.1]],"|",Table1[[#This Row],[Strain name]],"|",Table1[[#This Row],[host_simple]],"|",Table1[[#This Row],[Country]],"|",Table1[[#This Row],[date_text]])</f>
        <v>MT119616|Sok-77|Mn|Guinea|2014-04-05</v>
      </c>
      <c r="C187" s="2" t="s">
        <v>1332</v>
      </c>
      <c r="D187" s="2" t="str">
        <f>IF(ISNUMBER(MATCH(B187,finalSelection!$A$1:$A$497,0)),"yes","no")</f>
        <v>no</v>
      </c>
      <c r="E187" s="2" t="s">
        <v>952</v>
      </c>
      <c r="F187" s="2" t="s">
        <v>544</v>
      </c>
      <c r="H187" s="2" t="s">
        <v>542</v>
      </c>
      <c r="I187" s="2" t="s">
        <v>56</v>
      </c>
      <c r="J187" s="2" t="s">
        <v>37</v>
      </c>
      <c r="K187" s="2" t="s">
        <v>38</v>
      </c>
      <c r="L187" s="2" t="s">
        <v>37</v>
      </c>
      <c r="M187" s="2" t="str">
        <f>VLOOKUP(C187,seqConcatenated!$A$1:$B$124,2, FALSE)</f>
        <v>MT119531 and MT119616 are merged</v>
      </c>
      <c r="N187" s="2" t="str">
        <f>IF(ISNA(Table1[[#This Row],[Column2]]),Table1[[#This Row],[comments2]], IF(O187="NA",M187,_xlfn.CONCAT(O187,"--",M187)))</f>
        <v>MT119531 and MT119616 are merged</v>
      </c>
      <c r="O187" s="2" t="s">
        <v>39</v>
      </c>
      <c r="P187" s="2" t="s">
        <v>40</v>
      </c>
      <c r="Q187" s="2" t="s">
        <v>41</v>
      </c>
      <c r="S187" s="2" t="s">
        <v>42</v>
      </c>
      <c r="T187" s="2" t="s">
        <v>43</v>
      </c>
      <c r="U187" s="2" t="s">
        <v>44</v>
      </c>
      <c r="V187" s="2" t="s">
        <v>45</v>
      </c>
      <c r="W187" s="2">
        <v>735</v>
      </c>
      <c r="X187" s="2" t="s">
        <v>46</v>
      </c>
      <c r="Y187" s="2" t="s">
        <v>47</v>
      </c>
      <c r="AA187" s="2" t="s">
        <v>48</v>
      </c>
      <c r="AB187" s="2">
        <v>1</v>
      </c>
      <c r="AC187" s="2" t="s">
        <v>482</v>
      </c>
      <c r="AD187" s="2" t="s">
        <v>50</v>
      </c>
      <c r="AE187" s="4">
        <v>10.056783299999999</v>
      </c>
      <c r="AF187" s="4">
        <v>-10.665833299999999</v>
      </c>
      <c r="AG187" s="2" t="s">
        <v>51</v>
      </c>
      <c r="AI187" s="2" t="s">
        <v>52</v>
      </c>
      <c r="AJ187" s="2" t="str">
        <f>IF(Table1[[#This Row],[Host]]="Mastomys natalensis", "Mn", IF(Table1[[#This Row],[Host]]="Homo Sapiens","Human","PROBLEMMEMEMMEMEMEMM"))</f>
        <v>Mn</v>
      </c>
      <c r="AK187" s="2" t="s">
        <v>53</v>
      </c>
      <c r="AL187" s="5">
        <v>41734</v>
      </c>
      <c r="AM187" s="6" t="s">
        <v>1083</v>
      </c>
      <c r="AO187" s="2" t="s">
        <v>545</v>
      </c>
    </row>
    <row r="188" spans="1:41" x14ac:dyDescent="0.3">
      <c r="A188" s="2">
        <v>73</v>
      </c>
      <c r="B188" s="2" t="str">
        <f>_xlfn.CONCAT(Table1[[#This Row],[Acession_no_.1]],"|",Table1[[#This Row],[Strain name]],"|",Table1[[#This Row],[host_simple]],"|",Table1[[#This Row],[Country]],"|",Table1[[#This Row],[date_text]])</f>
        <v>MT119532|Sok-95|Mn|Guinea|2017-01-31</v>
      </c>
      <c r="C188" s="2" t="s">
        <v>1333</v>
      </c>
      <c r="D188" s="2" t="str">
        <f>IF(ISNUMBER(MATCH(B188,finalSelection!$A$1:$A$497,0)),"yes","no")</f>
        <v>yes</v>
      </c>
      <c r="E188" s="2" t="s">
        <v>953</v>
      </c>
      <c r="F188" s="2" t="s">
        <v>546</v>
      </c>
      <c r="H188" s="2" t="s">
        <v>547</v>
      </c>
      <c r="I188" s="2" t="s">
        <v>36</v>
      </c>
      <c r="J188" s="2" t="s">
        <v>37</v>
      </c>
      <c r="K188" s="2" t="s">
        <v>38</v>
      </c>
      <c r="L188" s="2" t="s">
        <v>37</v>
      </c>
      <c r="M188" s="2" t="str">
        <f>VLOOKUP(C188,seqConcatenated!$A$1:$B$124,2, FALSE)</f>
        <v>MT119532 and MT119617 are merged</v>
      </c>
      <c r="N188" s="2" t="str">
        <f>IF(ISNA(Table1[[#This Row],[Column2]]),Table1[[#This Row],[comments2]], IF(O188="NA",M188,_xlfn.CONCAT(O188,"--",M188)))</f>
        <v>&lt;500nt - NP counterpart exists but both together are &lt;1000nt - however given that threshold is 500 for a segment then combined the two genes overcome this --MT119532 and MT119617 are merged</v>
      </c>
      <c r="O188" s="2" t="s">
        <v>548</v>
      </c>
      <c r="P188" s="2" t="s">
        <v>40</v>
      </c>
      <c r="Q188" s="2" t="s">
        <v>41</v>
      </c>
      <c r="S188" s="2" t="s">
        <v>42</v>
      </c>
      <c r="T188" s="2" t="s">
        <v>43</v>
      </c>
      <c r="U188" s="2" t="s">
        <v>44</v>
      </c>
      <c r="V188" s="2" t="s">
        <v>45</v>
      </c>
      <c r="W188" s="2">
        <v>257</v>
      </c>
      <c r="X188" s="2" t="s">
        <v>46</v>
      </c>
      <c r="Y188" s="2" t="s">
        <v>47</v>
      </c>
      <c r="AA188" s="2" t="s">
        <v>48</v>
      </c>
      <c r="AB188" s="2">
        <v>1</v>
      </c>
      <c r="AC188" s="2" t="s">
        <v>482</v>
      </c>
      <c r="AD188" s="2" t="s">
        <v>50</v>
      </c>
      <c r="AE188" s="4">
        <v>10.056783299999999</v>
      </c>
      <c r="AF188" s="4">
        <v>-10.665833299999999</v>
      </c>
      <c r="AG188" s="2" t="s">
        <v>51</v>
      </c>
      <c r="AI188" s="2" t="s">
        <v>52</v>
      </c>
      <c r="AJ188" s="2" t="str">
        <f>IF(Table1[[#This Row],[Host]]="Mastomys natalensis", "Mn", IF(Table1[[#This Row],[Host]]="Homo Sapiens","Human","PROBLEMMEMEMMEMEMEMM"))</f>
        <v>Mn</v>
      </c>
      <c r="AK188" s="2" t="s">
        <v>53</v>
      </c>
      <c r="AL188" s="5">
        <v>42766</v>
      </c>
      <c r="AM188" s="6" t="s">
        <v>1084</v>
      </c>
      <c r="AO188" s="2" t="s">
        <v>549</v>
      </c>
    </row>
    <row r="189" spans="1:41" x14ac:dyDescent="0.3">
      <c r="A189" s="2">
        <v>158</v>
      </c>
      <c r="B189" s="2" t="str">
        <f>_xlfn.CONCAT(Table1[[#This Row],[Acession_no_.1]],"|",Table1[[#This Row],[Strain name]],"|",Table1[[#This Row],[host_simple]],"|",Table1[[#This Row],[Country]],"|",Table1[[#This Row],[date_text]])</f>
        <v>MT119617|Sok-95|Mn|Guinea|2017-01-31</v>
      </c>
      <c r="C189" s="2" t="s">
        <v>1333</v>
      </c>
      <c r="D189" s="2" t="str">
        <f>IF(ISNUMBER(MATCH(B189,finalSelection!$A$1:$A$497,0)),"yes","no")</f>
        <v>no</v>
      </c>
      <c r="E189" s="2" t="s">
        <v>954</v>
      </c>
      <c r="F189" s="2" t="s">
        <v>550</v>
      </c>
      <c r="H189" s="2" t="s">
        <v>547</v>
      </c>
      <c r="I189" s="2" t="s">
        <v>56</v>
      </c>
      <c r="J189" s="2" t="s">
        <v>37</v>
      </c>
      <c r="K189" s="2" t="s">
        <v>38</v>
      </c>
      <c r="L189" s="2" t="s">
        <v>37</v>
      </c>
      <c r="M189" s="2" t="str">
        <f>VLOOKUP(C189,seqConcatenated!$A$1:$B$124,2, FALSE)</f>
        <v>MT119532 and MT119617 are merged</v>
      </c>
      <c r="N189" s="2" t="str">
        <f>IF(ISNA(Table1[[#This Row],[Column2]]),Table1[[#This Row],[comments2]], IF(O189="NA",M189,_xlfn.CONCAT(O189,"--",M189)))</f>
        <v>MT119532 and MT119617 are merged</v>
      </c>
      <c r="O189" s="2" t="s">
        <v>39</v>
      </c>
      <c r="P189" s="2" t="s">
        <v>40</v>
      </c>
      <c r="Q189" s="2" t="s">
        <v>41</v>
      </c>
      <c r="S189" s="2" t="s">
        <v>42</v>
      </c>
      <c r="T189" s="2" t="s">
        <v>43</v>
      </c>
      <c r="U189" s="2" t="s">
        <v>44</v>
      </c>
      <c r="V189" s="2" t="s">
        <v>45</v>
      </c>
      <c r="W189" s="2">
        <v>735</v>
      </c>
      <c r="X189" s="2" t="s">
        <v>46</v>
      </c>
      <c r="Y189" s="2" t="s">
        <v>47</v>
      </c>
      <c r="AA189" s="2" t="s">
        <v>48</v>
      </c>
      <c r="AB189" s="2">
        <v>1</v>
      </c>
      <c r="AC189" s="2" t="s">
        <v>482</v>
      </c>
      <c r="AD189" s="2" t="s">
        <v>50</v>
      </c>
      <c r="AE189" s="4">
        <v>10.056783299999999</v>
      </c>
      <c r="AF189" s="4">
        <v>-10.665833299999999</v>
      </c>
      <c r="AG189" s="2" t="s">
        <v>51</v>
      </c>
      <c r="AI189" s="2" t="s">
        <v>52</v>
      </c>
      <c r="AJ189" s="2" t="str">
        <f>IF(Table1[[#This Row],[Host]]="Mastomys natalensis", "Mn", IF(Table1[[#This Row],[Host]]="Homo Sapiens","Human","PROBLEMMEMEMMEMEMEMM"))</f>
        <v>Mn</v>
      </c>
      <c r="AK189" s="2" t="s">
        <v>53</v>
      </c>
      <c r="AL189" s="5">
        <v>42766</v>
      </c>
      <c r="AM189" s="6" t="s">
        <v>1084</v>
      </c>
      <c r="AO189" s="2" t="s">
        <v>551</v>
      </c>
    </row>
    <row r="190" spans="1:41" x14ac:dyDescent="0.3">
      <c r="A190" s="2">
        <v>211</v>
      </c>
      <c r="B190" s="2" t="str">
        <f>_xlfn.CONCAT(Table1[[#This Row],[Acession_no_.1]],"|",Table1[[#This Row],[Strain name]],"|",Table1[[#This Row],[host_simple]],"|",Table1[[#This Row],[Country]],"|",Table1[[#This Row],[date_text]])</f>
        <v>MN123680|Sok07|Mn|Guinea|2013-11-08</v>
      </c>
      <c r="C190" s="2" t="s">
        <v>1334</v>
      </c>
      <c r="D190" s="2" t="str">
        <f>IF(ISNUMBER(MATCH(B190,finalSelection!$A$1:$A$497,0)),"yes","no")</f>
        <v>yes</v>
      </c>
      <c r="E190" s="2" t="s">
        <v>955</v>
      </c>
      <c r="F190" s="2" t="s">
        <v>552</v>
      </c>
      <c r="H190" s="2" t="s">
        <v>553</v>
      </c>
      <c r="I190" s="2" t="s">
        <v>36</v>
      </c>
      <c r="J190" s="2" t="s">
        <v>37</v>
      </c>
      <c r="K190" s="2" t="s">
        <v>38</v>
      </c>
      <c r="L190" s="2" t="s">
        <v>37</v>
      </c>
      <c r="M190" s="2" t="str">
        <f>VLOOKUP(C190,seqConcatenated!$A$1:$B$124,2, FALSE)</f>
        <v>MN123680 and KT833175 are merged</v>
      </c>
      <c r="N190" s="2" t="str">
        <f>IF(ISNA(Table1[[#This Row],[Column2]]),Table1[[#This Row],[comments2]], IF(O190="NA",M190,_xlfn.CONCAT(O190,"--",M190)))</f>
        <v>MN123680 and KT833175 are merged</v>
      </c>
      <c r="O190" s="2" t="s">
        <v>39</v>
      </c>
      <c r="P190" s="2" t="s">
        <v>150</v>
      </c>
      <c r="Q190" s="2" t="s">
        <v>151</v>
      </c>
      <c r="S190" s="2" t="s">
        <v>42</v>
      </c>
      <c r="T190" s="2" t="s">
        <v>43</v>
      </c>
      <c r="U190" s="2" t="s">
        <v>44</v>
      </c>
      <c r="V190" s="2" t="s">
        <v>45</v>
      </c>
      <c r="W190" s="2">
        <v>888</v>
      </c>
      <c r="X190" s="2" t="s">
        <v>46</v>
      </c>
      <c r="Y190" s="2" t="s">
        <v>47</v>
      </c>
      <c r="AA190" s="2" t="s">
        <v>48</v>
      </c>
      <c r="AB190" s="2">
        <v>1</v>
      </c>
      <c r="AC190" s="2" t="s">
        <v>482</v>
      </c>
      <c r="AD190" s="2" t="s">
        <v>50</v>
      </c>
      <c r="AE190" s="4">
        <v>10.056783299999999</v>
      </c>
      <c r="AF190" s="4">
        <v>-10.665833299999999</v>
      </c>
      <c r="AG190" s="2" t="s">
        <v>51</v>
      </c>
      <c r="AI190" s="2" t="s">
        <v>52</v>
      </c>
      <c r="AJ190" s="2" t="str">
        <f>IF(Table1[[#This Row],[Host]]="Mastomys natalensis", "Mn", IF(Table1[[#This Row],[Host]]="Homo Sapiens","Human","PROBLEMMEMEMMEMEMEMM"))</f>
        <v>Mn</v>
      </c>
      <c r="AK190" s="2" t="s">
        <v>53</v>
      </c>
      <c r="AL190" s="5">
        <v>41586</v>
      </c>
      <c r="AM190" s="6" t="s">
        <v>1085</v>
      </c>
      <c r="AO190" s="2" t="s">
        <v>554</v>
      </c>
    </row>
    <row r="191" spans="1:41" x14ac:dyDescent="0.3">
      <c r="A191" s="2">
        <v>271</v>
      </c>
      <c r="B191" s="2" t="str">
        <f>_xlfn.CONCAT(Table1[[#This Row],[Acession_no_.1]],"|",Table1[[#This Row],[Strain name]],"|",Table1[[#This Row],[host_simple]],"|",Table1[[#This Row],[Country]],"|",Table1[[#This Row],[date_text]])</f>
        <v>KT833175|Sok07|Mn|Guinea|2013-11-08</v>
      </c>
      <c r="C191" s="2" t="s">
        <v>1334</v>
      </c>
      <c r="D191" s="2" t="str">
        <f>IF(ISNUMBER(MATCH(B191,finalSelection!$A$1:$A$497,0)),"yes","no")</f>
        <v>no</v>
      </c>
      <c r="E191" s="2" t="s">
        <v>956</v>
      </c>
      <c r="F191" s="2" t="s">
        <v>555</v>
      </c>
      <c r="H191" s="2" t="s">
        <v>553</v>
      </c>
      <c r="I191" s="2" t="s">
        <v>56</v>
      </c>
      <c r="J191" s="2" t="s">
        <v>154</v>
      </c>
      <c r="K191" s="2" t="s">
        <v>38</v>
      </c>
      <c r="L191" s="2" t="s">
        <v>37</v>
      </c>
      <c r="M191" s="2" t="str">
        <f>VLOOKUP(C191,seqConcatenated!$A$1:$B$124,2, FALSE)</f>
        <v>MN123680 and KT833175 are merged</v>
      </c>
      <c r="N191" s="2" t="str">
        <f>IF(ISNA(Table1[[#This Row],[Column2]]),Table1[[#This Row],[comments2]], IF(O191="NA",M191,_xlfn.CONCAT(O191,"--",M191)))</f>
        <v>MN123680 and KT833175 are merged</v>
      </c>
      <c r="O191" s="2" t="s">
        <v>39</v>
      </c>
      <c r="P191" s="2" t="s">
        <v>155</v>
      </c>
      <c r="Q191" s="2" t="s">
        <v>156</v>
      </c>
      <c r="S191" s="2" t="s">
        <v>42</v>
      </c>
      <c r="T191" s="2" t="s">
        <v>43</v>
      </c>
      <c r="U191" s="2" t="s">
        <v>44</v>
      </c>
      <c r="V191" s="2" t="s">
        <v>45</v>
      </c>
      <c r="W191" s="2">
        <v>754</v>
      </c>
      <c r="X191" s="2" t="s">
        <v>46</v>
      </c>
      <c r="Y191" s="2" t="s">
        <v>47</v>
      </c>
      <c r="AA191" s="2" t="s">
        <v>48</v>
      </c>
      <c r="AB191" s="2">
        <v>1</v>
      </c>
      <c r="AC191" s="2" t="s">
        <v>482</v>
      </c>
      <c r="AD191" s="2" t="s">
        <v>50</v>
      </c>
      <c r="AE191" s="4">
        <v>10.056783299999999</v>
      </c>
      <c r="AF191" s="4">
        <v>-10.665833299999999</v>
      </c>
      <c r="AG191" s="2" t="s">
        <v>51</v>
      </c>
      <c r="AI191" s="2" t="s">
        <v>52</v>
      </c>
      <c r="AJ191" s="2" t="str">
        <f>IF(Table1[[#This Row],[Host]]="Mastomys natalensis", "Mn", IF(Table1[[#This Row],[Host]]="Homo Sapiens","Human","PROBLEMMEMEMMEMEMEMM"))</f>
        <v>Mn</v>
      </c>
      <c r="AK191" s="2" t="s">
        <v>53</v>
      </c>
      <c r="AL191" s="5">
        <v>41586</v>
      </c>
      <c r="AM191" s="6" t="s">
        <v>1085</v>
      </c>
      <c r="AO191" s="2" t="s">
        <v>556</v>
      </c>
    </row>
    <row r="192" spans="1:41" x14ac:dyDescent="0.3">
      <c r="A192" s="2">
        <v>212</v>
      </c>
      <c r="B192" s="2" t="str">
        <f>_xlfn.CONCAT(Table1[[#This Row],[Acession_no_.1]],"|",Table1[[#This Row],[Strain name]],"|",Table1[[#This Row],[host_simple]],"|",Table1[[#This Row],[Country]],"|",Table1[[#This Row],[date_text]])</f>
        <v>MN123681|Sok10|Mn|Guinea|2013-11-08</v>
      </c>
      <c r="C192" s="2" t="s">
        <v>1335</v>
      </c>
      <c r="D192" s="2" t="str">
        <f>IF(ISNUMBER(MATCH(B192,finalSelection!$A$1:$A$497,0)),"yes","no")</f>
        <v>yes</v>
      </c>
      <c r="E192" s="2" t="s">
        <v>957</v>
      </c>
      <c r="F192" s="2" t="s">
        <v>557</v>
      </c>
      <c r="H192" s="2" t="s">
        <v>558</v>
      </c>
      <c r="I192" s="2" t="s">
        <v>36</v>
      </c>
      <c r="J192" s="2" t="s">
        <v>37</v>
      </c>
      <c r="K192" s="2" t="s">
        <v>38</v>
      </c>
      <c r="L192" s="2" t="s">
        <v>37</v>
      </c>
      <c r="M192" s="2" t="str">
        <f>VLOOKUP(C192,seqConcatenated!$A$1:$B$124,2, FALSE)</f>
        <v>MN123681 and KT833176 are merged</v>
      </c>
      <c r="N192" s="2" t="str">
        <f>IF(ISNA(Table1[[#This Row],[Column2]]),Table1[[#This Row],[comments2]], IF(O192="NA",M192,_xlfn.CONCAT(O192,"--",M192)))</f>
        <v>MN123681 and KT833176 are merged</v>
      </c>
      <c r="O192" s="2" t="s">
        <v>39</v>
      </c>
      <c r="P192" s="2" t="s">
        <v>150</v>
      </c>
      <c r="Q192" s="2" t="s">
        <v>151</v>
      </c>
      <c r="S192" s="2" t="s">
        <v>42</v>
      </c>
      <c r="T192" s="2" t="s">
        <v>43</v>
      </c>
      <c r="U192" s="2" t="s">
        <v>44</v>
      </c>
      <c r="V192" s="2" t="s">
        <v>45</v>
      </c>
      <c r="W192" s="2">
        <v>888</v>
      </c>
      <c r="X192" s="2" t="s">
        <v>46</v>
      </c>
      <c r="Y192" s="2" t="s">
        <v>47</v>
      </c>
      <c r="AA192" s="2" t="s">
        <v>48</v>
      </c>
      <c r="AB192" s="2">
        <v>1</v>
      </c>
      <c r="AC192" s="2" t="s">
        <v>482</v>
      </c>
      <c r="AD192" s="2" t="s">
        <v>50</v>
      </c>
      <c r="AE192" s="4">
        <v>10.056783299999999</v>
      </c>
      <c r="AF192" s="4">
        <v>-10.665833299999999</v>
      </c>
      <c r="AG192" s="2" t="s">
        <v>51</v>
      </c>
      <c r="AI192" s="2" t="s">
        <v>52</v>
      </c>
      <c r="AJ192" s="2" t="str">
        <f>IF(Table1[[#This Row],[Host]]="Mastomys natalensis", "Mn", IF(Table1[[#This Row],[Host]]="Homo Sapiens","Human","PROBLEMMEMEMMEMEMEMM"))</f>
        <v>Mn</v>
      </c>
      <c r="AK192" s="2" t="s">
        <v>53</v>
      </c>
      <c r="AL192" s="5">
        <v>41586</v>
      </c>
      <c r="AM192" s="6" t="s">
        <v>1085</v>
      </c>
      <c r="AO192" s="2" t="s">
        <v>559</v>
      </c>
    </row>
    <row r="193" spans="1:41" x14ac:dyDescent="0.3">
      <c r="A193" s="2">
        <v>272</v>
      </c>
      <c r="B193" s="2" t="str">
        <f>_xlfn.CONCAT(Table1[[#This Row],[Acession_no_.1]],"|",Table1[[#This Row],[Strain name]],"|",Table1[[#This Row],[host_simple]],"|",Table1[[#This Row],[Country]],"|",Table1[[#This Row],[date_text]])</f>
        <v>KT833176|Sok10|Mn|Guinea|2013-11-08</v>
      </c>
      <c r="C193" s="2" t="s">
        <v>1335</v>
      </c>
      <c r="D193" s="2" t="str">
        <f>IF(ISNUMBER(MATCH(B193,finalSelection!$A$1:$A$497,0)),"yes","no")</f>
        <v>no</v>
      </c>
      <c r="E193" s="2" t="s">
        <v>958</v>
      </c>
      <c r="F193" s="2" t="s">
        <v>560</v>
      </c>
      <c r="H193" s="2" t="s">
        <v>558</v>
      </c>
      <c r="I193" s="2" t="s">
        <v>56</v>
      </c>
      <c r="J193" s="2" t="s">
        <v>154</v>
      </c>
      <c r="K193" s="2" t="s">
        <v>38</v>
      </c>
      <c r="L193" s="2" t="s">
        <v>37</v>
      </c>
      <c r="M193" s="2" t="str">
        <f>VLOOKUP(C193,seqConcatenated!$A$1:$B$124,2, FALSE)</f>
        <v>MN123681 and KT833176 are merged</v>
      </c>
      <c r="N193" s="2" t="str">
        <f>IF(ISNA(Table1[[#This Row],[Column2]]),Table1[[#This Row],[comments2]], IF(O193="NA",M193,_xlfn.CONCAT(O193,"--",M193)))</f>
        <v>MN123681 and KT833176 are merged</v>
      </c>
      <c r="O193" s="2" t="s">
        <v>39</v>
      </c>
      <c r="P193" s="2" t="s">
        <v>155</v>
      </c>
      <c r="Q193" s="2" t="s">
        <v>156</v>
      </c>
      <c r="S193" s="2" t="s">
        <v>42</v>
      </c>
      <c r="T193" s="2" t="s">
        <v>43</v>
      </c>
      <c r="U193" s="2" t="s">
        <v>44</v>
      </c>
      <c r="V193" s="2" t="s">
        <v>45</v>
      </c>
      <c r="W193" s="2">
        <v>754</v>
      </c>
      <c r="X193" s="2" t="s">
        <v>46</v>
      </c>
      <c r="Y193" s="2" t="s">
        <v>47</v>
      </c>
      <c r="AA193" s="2" t="s">
        <v>48</v>
      </c>
      <c r="AB193" s="2">
        <v>1</v>
      </c>
      <c r="AC193" s="2" t="s">
        <v>482</v>
      </c>
      <c r="AD193" s="2" t="s">
        <v>50</v>
      </c>
      <c r="AE193" s="4">
        <v>10.056783299999999</v>
      </c>
      <c r="AF193" s="4">
        <v>-10.665833299999999</v>
      </c>
      <c r="AG193" s="2" t="s">
        <v>51</v>
      </c>
      <c r="AI193" s="2" t="s">
        <v>52</v>
      </c>
      <c r="AJ193" s="2" t="str">
        <f>IF(Table1[[#This Row],[Host]]="Mastomys natalensis", "Mn", IF(Table1[[#This Row],[Host]]="Homo Sapiens","Human","PROBLEMMEMEMMEMEMEMM"))</f>
        <v>Mn</v>
      </c>
      <c r="AK193" s="2" t="s">
        <v>53</v>
      </c>
      <c r="AL193" s="5">
        <v>41586</v>
      </c>
      <c r="AM193" s="6" t="s">
        <v>1085</v>
      </c>
      <c r="AO193" s="2" t="s">
        <v>561</v>
      </c>
    </row>
    <row r="194" spans="1:41" x14ac:dyDescent="0.3">
      <c r="A194" s="2">
        <v>213</v>
      </c>
      <c r="B194" s="2" t="str">
        <f>_xlfn.CONCAT(Table1[[#This Row],[Acession_no_.1]],"|",Table1[[#This Row],[Strain name]],"|",Table1[[#This Row],[host_simple]],"|",Table1[[#This Row],[Country]],"|",Table1[[#This Row],[date_text]])</f>
        <v>MN123682|Sok18|Mn|Guinea|2013-11-09</v>
      </c>
      <c r="C194" s="2" t="s">
        <v>1336</v>
      </c>
      <c r="D194" s="2" t="str">
        <f>IF(ISNUMBER(MATCH(B194,finalSelection!$A$1:$A$497,0)),"yes","no")</f>
        <v>yes</v>
      </c>
      <c r="E194" s="2" t="s">
        <v>959</v>
      </c>
      <c r="F194" s="2" t="s">
        <v>562</v>
      </c>
      <c r="H194" s="2" t="s">
        <v>563</v>
      </c>
      <c r="I194" s="2" t="s">
        <v>36</v>
      </c>
      <c r="J194" s="2" t="s">
        <v>37</v>
      </c>
      <c r="K194" s="2" t="s">
        <v>38</v>
      </c>
      <c r="L194" s="2" t="s">
        <v>37</v>
      </c>
      <c r="M194" s="2" t="str">
        <f>VLOOKUP(C194,seqConcatenated!$A$1:$B$124,2, FALSE)</f>
        <v>MN123682 and KT833177 are merged</v>
      </c>
      <c r="N194" s="2" t="str">
        <f>IF(ISNA(Table1[[#This Row],[Column2]]),Table1[[#This Row],[comments2]], IF(O194="NA",M194,_xlfn.CONCAT(O194,"--",M194)))</f>
        <v>MN123682 and KT833177 are merged</v>
      </c>
      <c r="O194" s="2" t="s">
        <v>39</v>
      </c>
      <c r="P194" s="2" t="s">
        <v>150</v>
      </c>
      <c r="Q194" s="2" t="s">
        <v>151</v>
      </c>
      <c r="S194" s="2" t="s">
        <v>42</v>
      </c>
      <c r="T194" s="2" t="s">
        <v>43</v>
      </c>
      <c r="U194" s="2" t="s">
        <v>44</v>
      </c>
      <c r="V194" s="2" t="s">
        <v>45</v>
      </c>
      <c r="W194" s="2">
        <v>888</v>
      </c>
      <c r="X194" s="2" t="s">
        <v>46</v>
      </c>
      <c r="Y194" s="2" t="s">
        <v>47</v>
      </c>
      <c r="AA194" s="2" t="s">
        <v>48</v>
      </c>
      <c r="AB194" s="2">
        <v>1</v>
      </c>
      <c r="AC194" s="2" t="s">
        <v>482</v>
      </c>
      <c r="AD194" s="2" t="s">
        <v>50</v>
      </c>
      <c r="AE194" s="4">
        <v>10.056783299999999</v>
      </c>
      <c r="AF194" s="4">
        <v>-10.665833299999999</v>
      </c>
      <c r="AG194" s="2" t="s">
        <v>51</v>
      </c>
      <c r="AI194" s="2" t="s">
        <v>52</v>
      </c>
      <c r="AJ194" s="2" t="str">
        <f>IF(Table1[[#This Row],[Host]]="Mastomys natalensis", "Mn", IF(Table1[[#This Row],[Host]]="Homo Sapiens","Human","PROBLEMMEMEMMEMEMEMM"))</f>
        <v>Mn</v>
      </c>
      <c r="AK194" s="2" t="s">
        <v>53</v>
      </c>
      <c r="AL194" s="5">
        <v>41587</v>
      </c>
      <c r="AM194" s="6" t="s">
        <v>1079</v>
      </c>
      <c r="AO194" s="2" t="s">
        <v>564</v>
      </c>
    </row>
    <row r="195" spans="1:41" x14ac:dyDescent="0.3">
      <c r="A195" s="2">
        <v>273</v>
      </c>
      <c r="B195" s="2" t="str">
        <f>_xlfn.CONCAT(Table1[[#This Row],[Acession_no_.1]],"|",Table1[[#This Row],[Strain name]],"|",Table1[[#This Row],[host_simple]],"|",Table1[[#This Row],[Country]],"|",Table1[[#This Row],[date_text]])</f>
        <v>KT833177|Sok18|Mn|Guinea|2013-11-09</v>
      </c>
      <c r="C195" s="2" t="s">
        <v>1336</v>
      </c>
      <c r="D195" s="2" t="str">
        <f>IF(ISNUMBER(MATCH(B195,finalSelection!$A$1:$A$497,0)),"yes","no")</f>
        <v>no</v>
      </c>
      <c r="E195" s="2" t="s">
        <v>960</v>
      </c>
      <c r="F195" s="2" t="s">
        <v>565</v>
      </c>
      <c r="H195" s="2" t="s">
        <v>563</v>
      </c>
      <c r="I195" s="2" t="s">
        <v>56</v>
      </c>
      <c r="J195" s="2" t="s">
        <v>154</v>
      </c>
      <c r="K195" s="2" t="s">
        <v>38</v>
      </c>
      <c r="L195" s="2" t="s">
        <v>37</v>
      </c>
      <c r="M195" s="2" t="str">
        <f>VLOOKUP(C195,seqConcatenated!$A$1:$B$124,2, FALSE)</f>
        <v>MN123682 and KT833177 are merged</v>
      </c>
      <c r="N195" s="2" t="str">
        <f>IF(ISNA(Table1[[#This Row],[Column2]]),Table1[[#This Row],[comments2]], IF(O195="NA",M195,_xlfn.CONCAT(O195,"--",M195)))</f>
        <v>MN123682 and KT833177 are merged</v>
      </c>
      <c r="O195" s="2" t="s">
        <v>39</v>
      </c>
      <c r="P195" s="2" t="s">
        <v>155</v>
      </c>
      <c r="Q195" s="2" t="s">
        <v>156</v>
      </c>
      <c r="S195" s="2" t="s">
        <v>42</v>
      </c>
      <c r="T195" s="2" t="s">
        <v>43</v>
      </c>
      <c r="U195" s="2" t="s">
        <v>44</v>
      </c>
      <c r="V195" s="2" t="s">
        <v>45</v>
      </c>
      <c r="W195" s="2">
        <v>754</v>
      </c>
      <c r="X195" s="2" t="s">
        <v>46</v>
      </c>
      <c r="Y195" s="2" t="s">
        <v>47</v>
      </c>
      <c r="AA195" s="2" t="s">
        <v>48</v>
      </c>
      <c r="AB195" s="2">
        <v>1</v>
      </c>
      <c r="AC195" s="2" t="s">
        <v>482</v>
      </c>
      <c r="AD195" s="2" t="s">
        <v>50</v>
      </c>
      <c r="AE195" s="4">
        <v>10.056783299999999</v>
      </c>
      <c r="AF195" s="4">
        <v>-10.665833299999999</v>
      </c>
      <c r="AG195" s="2" t="s">
        <v>51</v>
      </c>
      <c r="AI195" s="2" t="s">
        <v>52</v>
      </c>
      <c r="AJ195" s="2" t="str">
        <f>IF(Table1[[#This Row],[Host]]="Mastomys natalensis", "Mn", IF(Table1[[#This Row],[Host]]="Homo Sapiens","Human","PROBLEMMEMEMMEMEMEMM"))</f>
        <v>Mn</v>
      </c>
      <c r="AK195" s="2" t="s">
        <v>53</v>
      </c>
      <c r="AL195" s="5">
        <v>41587</v>
      </c>
      <c r="AM195" s="6" t="s">
        <v>1079</v>
      </c>
      <c r="AO195" s="2" t="s">
        <v>566</v>
      </c>
    </row>
    <row r="196" spans="1:41" x14ac:dyDescent="0.3">
      <c r="A196" s="2">
        <v>214</v>
      </c>
      <c r="B196" s="2" t="str">
        <f>_xlfn.CONCAT(Table1[[#This Row],[Acession_no_.1]],"|",Table1[[#This Row],[Strain name]],"|",Table1[[#This Row],[host_simple]],"|",Table1[[#This Row],[Country]],"|",Table1[[#This Row],[date_text]])</f>
        <v>MN123683|Sok21|Mn|Guinea|2013-11-09</v>
      </c>
      <c r="C196" s="2" t="s">
        <v>1337</v>
      </c>
      <c r="D196" s="2" t="str">
        <f>IF(ISNUMBER(MATCH(B196,finalSelection!$A$1:$A$497,0)),"yes","no")</f>
        <v>yes</v>
      </c>
      <c r="E196" s="2" t="s">
        <v>961</v>
      </c>
      <c r="F196" s="2" t="s">
        <v>567</v>
      </c>
      <c r="H196" s="2" t="s">
        <v>568</v>
      </c>
      <c r="I196" s="2" t="s">
        <v>36</v>
      </c>
      <c r="J196" s="2" t="s">
        <v>37</v>
      </c>
      <c r="K196" s="2" t="s">
        <v>38</v>
      </c>
      <c r="L196" s="2" t="s">
        <v>37</v>
      </c>
      <c r="M196" s="2" t="str">
        <f>VLOOKUP(C196,seqConcatenated!$A$1:$B$124,2, FALSE)</f>
        <v>MN123683 and KT833178 are merged</v>
      </c>
      <c r="N196" s="2" t="str">
        <f>IF(ISNA(Table1[[#This Row],[Column2]]),Table1[[#This Row],[comments2]], IF(O196="NA",M196,_xlfn.CONCAT(O196,"--",M196)))</f>
        <v>MN123683 and KT833178 are merged</v>
      </c>
      <c r="O196" s="2" t="s">
        <v>39</v>
      </c>
      <c r="P196" s="2" t="s">
        <v>150</v>
      </c>
      <c r="Q196" s="2" t="s">
        <v>151</v>
      </c>
      <c r="S196" s="2" t="s">
        <v>42</v>
      </c>
      <c r="T196" s="2" t="s">
        <v>43</v>
      </c>
      <c r="U196" s="2" t="s">
        <v>44</v>
      </c>
      <c r="V196" s="2" t="s">
        <v>45</v>
      </c>
      <c r="W196" s="2">
        <v>888</v>
      </c>
      <c r="X196" s="2" t="s">
        <v>46</v>
      </c>
      <c r="Y196" s="2" t="s">
        <v>47</v>
      </c>
      <c r="AA196" s="2" t="s">
        <v>48</v>
      </c>
      <c r="AB196" s="2">
        <v>1</v>
      </c>
      <c r="AC196" s="2" t="s">
        <v>482</v>
      </c>
      <c r="AD196" s="2" t="s">
        <v>50</v>
      </c>
      <c r="AE196" s="4">
        <v>10.056783299999999</v>
      </c>
      <c r="AF196" s="4">
        <v>-10.665833299999999</v>
      </c>
      <c r="AG196" s="2" t="s">
        <v>51</v>
      </c>
      <c r="AI196" s="2" t="s">
        <v>52</v>
      </c>
      <c r="AJ196" s="2" t="str">
        <f>IF(Table1[[#This Row],[Host]]="Mastomys natalensis", "Mn", IF(Table1[[#This Row],[Host]]="Homo Sapiens","Human","PROBLEMMEMEMMEMEMEMM"))</f>
        <v>Mn</v>
      </c>
      <c r="AK196" s="2" t="s">
        <v>53</v>
      </c>
      <c r="AL196" s="5">
        <v>41587</v>
      </c>
      <c r="AM196" s="6" t="s">
        <v>1079</v>
      </c>
      <c r="AO196" s="2" t="s">
        <v>569</v>
      </c>
    </row>
    <row r="197" spans="1:41" x14ac:dyDescent="0.3">
      <c r="A197" s="2">
        <v>274</v>
      </c>
      <c r="B197" s="2" t="str">
        <f>_xlfn.CONCAT(Table1[[#This Row],[Acession_no_.1]],"|",Table1[[#This Row],[Strain name]],"|",Table1[[#This Row],[host_simple]],"|",Table1[[#This Row],[Country]],"|",Table1[[#This Row],[date_text]])</f>
        <v>KT833178|Sok21|Mn|Guinea|2013-11-09</v>
      </c>
      <c r="C197" s="2" t="s">
        <v>1337</v>
      </c>
      <c r="D197" s="2" t="str">
        <f>IF(ISNUMBER(MATCH(B197,finalSelection!$A$1:$A$497,0)),"yes","no")</f>
        <v>no</v>
      </c>
      <c r="E197" s="2" t="s">
        <v>962</v>
      </c>
      <c r="F197" s="2" t="s">
        <v>570</v>
      </c>
      <c r="H197" s="2" t="s">
        <v>568</v>
      </c>
      <c r="I197" s="2" t="s">
        <v>56</v>
      </c>
      <c r="J197" s="2" t="s">
        <v>154</v>
      </c>
      <c r="K197" s="2" t="s">
        <v>38</v>
      </c>
      <c r="L197" s="2" t="s">
        <v>37</v>
      </c>
      <c r="M197" s="2" t="str">
        <f>VLOOKUP(C197,seqConcatenated!$A$1:$B$124,2, FALSE)</f>
        <v>MN123683 and KT833178 are merged</v>
      </c>
      <c r="N197" s="2" t="str">
        <f>IF(ISNA(Table1[[#This Row],[Column2]]),Table1[[#This Row],[comments2]], IF(O197="NA",M197,_xlfn.CONCAT(O197,"--",M197)))</f>
        <v>MN123683 and KT833178 are merged</v>
      </c>
      <c r="O197" s="2" t="s">
        <v>39</v>
      </c>
      <c r="P197" s="2" t="s">
        <v>155</v>
      </c>
      <c r="Q197" s="2" t="s">
        <v>156</v>
      </c>
      <c r="S197" s="2" t="s">
        <v>42</v>
      </c>
      <c r="T197" s="2" t="s">
        <v>43</v>
      </c>
      <c r="U197" s="2" t="s">
        <v>44</v>
      </c>
      <c r="V197" s="2" t="s">
        <v>45</v>
      </c>
      <c r="W197" s="2">
        <v>754</v>
      </c>
      <c r="X197" s="2" t="s">
        <v>46</v>
      </c>
      <c r="Y197" s="2" t="s">
        <v>47</v>
      </c>
      <c r="AA197" s="2" t="s">
        <v>48</v>
      </c>
      <c r="AB197" s="2">
        <v>1</v>
      </c>
      <c r="AC197" s="2" t="s">
        <v>482</v>
      </c>
      <c r="AD197" s="2" t="s">
        <v>50</v>
      </c>
      <c r="AE197" s="4">
        <v>10.056783299999999</v>
      </c>
      <c r="AF197" s="4">
        <v>-10.665833299999999</v>
      </c>
      <c r="AG197" s="2" t="s">
        <v>51</v>
      </c>
      <c r="AI197" s="2" t="s">
        <v>52</v>
      </c>
      <c r="AJ197" s="2" t="str">
        <f>IF(Table1[[#This Row],[Host]]="Mastomys natalensis", "Mn", IF(Table1[[#This Row],[Host]]="Homo Sapiens","Human","PROBLEMMEMEMMEMEMEMM"))</f>
        <v>Mn</v>
      </c>
      <c r="AK197" s="2" t="s">
        <v>53</v>
      </c>
      <c r="AL197" s="5">
        <v>41587</v>
      </c>
      <c r="AM197" s="6" t="s">
        <v>1079</v>
      </c>
      <c r="AO197" s="2" t="s">
        <v>571</v>
      </c>
    </row>
    <row r="198" spans="1:41" x14ac:dyDescent="0.3">
      <c r="A198" s="2">
        <v>215</v>
      </c>
      <c r="B198" s="2" t="str">
        <f>_xlfn.CONCAT(Table1[[#This Row],[Acession_no_.1]],"|",Table1[[#This Row],[Strain name]],"|",Table1[[#This Row],[host_simple]],"|",Table1[[#This Row],[Country]],"|",Table1[[#This Row],[date_text]])</f>
        <v>MN123684|Sok32|Mn|Guinea|2013-11-10</v>
      </c>
      <c r="C198" s="2" t="s">
        <v>1338</v>
      </c>
      <c r="D198" s="2" t="str">
        <f>IF(ISNUMBER(MATCH(B198,finalSelection!$A$1:$A$497,0)),"yes","no")</f>
        <v>yes</v>
      </c>
      <c r="E198" s="2" t="s">
        <v>963</v>
      </c>
      <c r="F198" s="2" t="s">
        <v>572</v>
      </c>
      <c r="H198" s="2" t="s">
        <v>573</v>
      </c>
      <c r="I198" s="2" t="s">
        <v>36</v>
      </c>
      <c r="J198" s="2" t="s">
        <v>37</v>
      </c>
      <c r="K198" s="2" t="s">
        <v>38</v>
      </c>
      <c r="L198" s="2" t="s">
        <v>37</v>
      </c>
      <c r="M198" s="2" t="str">
        <f>VLOOKUP(C198,seqConcatenated!$A$1:$B$124,2, FALSE)</f>
        <v>MN123684 and KT833180 are merged</v>
      </c>
      <c r="N198" s="2" t="str">
        <f>IF(ISNA(Table1[[#This Row],[Column2]]),Table1[[#This Row],[comments2]], IF(O198="NA",M198,_xlfn.CONCAT(O198,"--",M198)))</f>
        <v>MN123684 and KT833180 are merged</v>
      </c>
      <c r="O198" s="2" t="s">
        <v>39</v>
      </c>
      <c r="P198" s="2" t="s">
        <v>150</v>
      </c>
      <c r="Q198" s="2" t="s">
        <v>151</v>
      </c>
      <c r="S198" s="2" t="s">
        <v>42</v>
      </c>
      <c r="T198" s="2" t="s">
        <v>43</v>
      </c>
      <c r="U198" s="2" t="s">
        <v>44</v>
      </c>
      <c r="V198" s="2" t="s">
        <v>45</v>
      </c>
      <c r="W198" s="2">
        <v>888</v>
      </c>
      <c r="X198" s="2" t="s">
        <v>46</v>
      </c>
      <c r="Y198" s="2" t="s">
        <v>47</v>
      </c>
      <c r="AA198" s="2" t="s">
        <v>48</v>
      </c>
      <c r="AB198" s="2">
        <v>1</v>
      </c>
      <c r="AC198" s="2" t="s">
        <v>482</v>
      </c>
      <c r="AD198" s="2" t="s">
        <v>50</v>
      </c>
      <c r="AE198" s="4">
        <v>10.056783299999999</v>
      </c>
      <c r="AF198" s="4">
        <v>-10.665833299999999</v>
      </c>
      <c r="AG198" s="2" t="s">
        <v>51</v>
      </c>
      <c r="AI198" s="2" t="s">
        <v>52</v>
      </c>
      <c r="AJ198" s="2" t="str">
        <f>IF(Table1[[#This Row],[Host]]="Mastomys natalensis", "Mn", IF(Table1[[#This Row],[Host]]="Homo Sapiens","Human","PROBLEMMEMEMMEMEMEMM"))</f>
        <v>Mn</v>
      </c>
      <c r="AK198" s="2" t="s">
        <v>53</v>
      </c>
      <c r="AL198" s="5">
        <v>41588</v>
      </c>
      <c r="AM198" s="6" t="s">
        <v>1080</v>
      </c>
      <c r="AO198" s="2" t="s">
        <v>574</v>
      </c>
    </row>
    <row r="199" spans="1:41" x14ac:dyDescent="0.3">
      <c r="A199" s="2">
        <v>276</v>
      </c>
      <c r="B199" s="2" t="str">
        <f>_xlfn.CONCAT(Table1[[#This Row],[Acession_no_.1]],"|",Table1[[#This Row],[Strain name]],"|",Table1[[#This Row],[host_simple]],"|",Table1[[#This Row],[Country]],"|",Table1[[#This Row],[date_text]])</f>
        <v>KT833180|Sok32|Mn|Guinea|2013-11-10</v>
      </c>
      <c r="C199" s="2" t="s">
        <v>1338</v>
      </c>
      <c r="D199" s="2" t="str">
        <f>IF(ISNUMBER(MATCH(B199,finalSelection!$A$1:$A$497,0)),"yes","no")</f>
        <v>no</v>
      </c>
      <c r="E199" s="2" t="s">
        <v>964</v>
      </c>
      <c r="F199" s="2" t="s">
        <v>575</v>
      </c>
      <c r="H199" s="2" t="s">
        <v>573</v>
      </c>
      <c r="I199" s="2" t="s">
        <v>56</v>
      </c>
      <c r="J199" s="2" t="s">
        <v>154</v>
      </c>
      <c r="K199" s="2" t="s">
        <v>38</v>
      </c>
      <c r="L199" s="2" t="s">
        <v>37</v>
      </c>
      <c r="M199" s="2" t="str">
        <f>VLOOKUP(C199,seqConcatenated!$A$1:$B$124,2, FALSE)</f>
        <v>MN123684 and KT833180 are merged</v>
      </c>
      <c r="N199" s="2" t="str">
        <f>IF(ISNA(Table1[[#This Row],[Column2]]),Table1[[#This Row],[comments2]], IF(O199="NA",M199,_xlfn.CONCAT(O199,"--",M199)))</f>
        <v>MN123684 and KT833180 are merged</v>
      </c>
      <c r="O199" s="2" t="s">
        <v>39</v>
      </c>
      <c r="P199" s="2" t="s">
        <v>155</v>
      </c>
      <c r="Q199" s="2" t="s">
        <v>156</v>
      </c>
      <c r="S199" s="2" t="s">
        <v>42</v>
      </c>
      <c r="T199" s="2" t="s">
        <v>43</v>
      </c>
      <c r="U199" s="2" t="s">
        <v>44</v>
      </c>
      <c r="V199" s="2" t="s">
        <v>45</v>
      </c>
      <c r="W199" s="2">
        <v>754</v>
      </c>
      <c r="X199" s="2" t="s">
        <v>46</v>
      </c>
      <c r="Y199" s="2" t="s">
        <v>47</v>
      </c>
      <c r="AA199" s="2" t="s">
        <v>48</v>
      </c>
      <c r="AB199" s="2">
        <v>1</v>
      </c>
      <c r="AC199" s="2" t="s">
        <v>482</v>
      </c>
      <c r="AD199" s="2" t="s">
        <v>50</v>
      </c>
      <c r="AE199" s="4">
        <v>10.056783299999999</v>
      </c>
      <c r="AF199" s="4">
        <v>-10.665833299999999</v>
      </c>
      <c r="AG199" s="2" t="s">
        <v>51</v>
      </c>
      <c r="AI199" s="2" t="s">
        <v>52</v>
      </c>
      <c r="AJ199" s="2" t="str">
        <f>IF(Table1[[#This Row],[Host]]="Mastomys natalensis", "Mn", IF(Table1[[#This Row],[Host]]="Homo Sapiens","Human","PROBLEMMEMEMMEMEMEMM"))</f>
        <v>Mn</v>
      </c>
      <c r="AK199" s="2" t="s">
        <v>53</v>
      </c>
      <c r="AL199" s="5">
        <v>41588</v>
      </c>
      <c r="AM199" s="6" t="s">
        <v>1080</v>
      </c>
      <c r="AO199" s="2" t="s">
        <v>576</v>
      </c>
    </row>
    <row r="200" spans="1:41" x14ac:dyDescent="0.3">
      <c r="A200" s="2">
        <v>216</v>
      </c>
      <c r="B200" s="2" t="str">
        <f>_xlfn.CONCAT(Table1[[#This Row],[Acession_no_.1]],"|",Table1[[#This Row],[Strain name]],"|",Table1[[#This Row],[host_simple]],"|",Table1[[#This Row],[Country]],"|",Table1[[#This Row],[date_text]])</f>
        <v>MN123685|Sok40|Mn|Guinea|2014-04-03</v>
      </c>
      <c r="C200" s="2" t="s">
        <v>1339</v>
      </c>
      <c r="D200" s="2" t="str">
        <f>IF(ISNUMBER(MATCH(B200,finalSelection!$A$1:$A$497,0)),"yes","no")</f>
        <v>yes</v>
      </c>
      <c r="E200" s="2" t="s">
        <v>965</v>
      </c>
      <c r="F200" s="2" t="s">
        <v>577</v>
      </c>
      <c r="H200" s="2" t="s">
        <v>578</v>
      </c>
      <c r="I200" s="2" t="s">
        <v>36</v>
      </c>
      <c r="J200" s="2" t="s">
        <v>37</v>
      </c>
      <c r="K200" s="2" t="s">
        <v>38</v>
      </c>
      <c r="L200" s="2" t="s">
        <v>37</v>
      </c>
      <c r="M200" s="2" t="str">
        <f>VLOOKUP(C200,seqConcatenated!$A$1:$B$124,2, FALSE)</f>
        <v>MN123685 and KT833211 are merged</v>
      </c>
      <c r="N200" s="2" t="str">
        <f>IF(ISNA(Table1[[#This Row],[Column2]]),Table1[[#This Row],[comments2]], IF(O200="NA",M200,_xlfn.CONCAT(O200,"--",M200)))</f>
        <v>MN123685 and KT833211 are merged</v>
      </c>
      <c r="O200" s="2" t="s">
        <v>39</v>
      </c>
      <c r="P200" s="2" t="s">
        <v>150</v>
      </c>
      <c r="Q200" s="2" t="s">
        <v>151</v>
      </c>
      <c r="S200" s="2" t="s">
        <v>42</v>
      </c>
      <c r="T200" s="2" t="s">
        <v>43</v>
      </c>
      <c r="U200" s="2" t="s">
        <v>44</v>
      </c>
      <c r="V200" s="2" t="s">
        <v>45</v>
      </c>
      <c r="W200" s="2">
        <v>888</v>
      </c>
      <c r="X200" s="2" t="s">
        <v>46</v>
      </c>
      <c r="Y200" s="2" t="s">
        <v>47</v>
      </c>
      <c r="AA200" s="2" t="s">
        <v>48</v>
      </c>
      <c r="AB200" s="2">
        <v>1</v>
      </c>
      <c r="AC200" s="2" t="s">
        <v>482</v>
      </c>
      <c r="AD200" s="2" t="s">
        <v>50</v>
      </c>
      <c r="AE200" s="4">
        <v>10.056783299999999</v>
      </c>
      <c r="AF200" s="4">
        <v>-10.665833299999999</v>
      </c>
      <c r="AG200" s="2" t="s">
        <v>51</v>
      </c>
      <c r="AI200" s="2" t="s">
        <v>52</v>
      </c>
      <c r="AJ200" s="2" t="str">
        <f>IF(Table1[[#This Row],[Host]]="Mastomys natalensis", "Mn", IF(Table1[[#This Row],[Host]]="Homo Sapiens","Human","PROBLEMMEMEMMEMEMEMM"))</f>
        <v>Mn</v>
      </c>
      <c r="AK200" s="2" t="s">
        <v>53</v>
      </c>
      <c r="AL200" s="5">
        <v>41732</v>
      </c>
      <c r="AM200" s="6" t="s">
        <v>1081</v>
      </c>
      <c r="AO200" s="2" t="s">
        <v>579</v>
      </c>
    </row>
    <row r="201" spans="1:41" x14ac:dyDescent="0.3">
      <c r="A201" s="2">
        <v>307</v>
      </c>
      <c r="B201" s="2" t="str">
        <f>_xlfn.CONCAT(Table1[[#This Row],[Acession_no_.1]],"|",Table1[[#This Row],[Strain name]],"|",Table1[[#This Row],[host_simple]],"|",Table1[[#This Row],[Country]],"|",Table1[[#This Row],[date_text]])</f>
        <v>KT833211|Sok40|Mn|Guinea|2014-04-03</v>
      </c>
      <c r="C201" s="2" t="s">
        <v>1339</v>
      </c>
      <c r="D201" s="2" t="str">
        <f>IF(ISNUMBER(MATCH(B201,finalSelection!$A$1:$A$497,0)),"yes","no")</f>
        <v>no</v>
      </c>
      <c r="E201" s="2" t="s">
        <v>966</v>
      </c>
      <c r="F201" s="2" t="s">
        <v>580</v>
      </c>
      <c r="H201" s="2" t="s">
        <v>578</v>
      </c>
      <c r="I201" s="2" t="s">
        <v>56</v>
      </c>
      <c r="J201" s="2" t="s">
        <v>154</v>
      </c>
      <c r="K201" s="2" t="s">
        <v>38</v>
      </c>
      <c r="L201" s="2" t="s">
        <v>37</v>
      </c>
      <c r="M201" s="2" t="str">
        <f>VLOOKUP(C201,seqConcatenated!$A$1:$B$124,2, FALSE)</f>
        <v>MN123685 and KT833211 are merged</v>
      </c>
      <c r="N201" s="2" t="str">
        <f>IF(ISNA(Table1[[#This Row],[Column2]]),Table1[[#This Row],[comments2]], IF(O201="NA",M201,_xlfn.CONCAT(O201,"--",M201)))</f>
        <v>MN123685 and KT833211 are merged</v>
      </c>
      <c r="O201" s="2" t="s">
        <v>39</v>
      </c>
      <c r="P201" s="2" t="s">
        <v>155</v>
      </c>
      <c r="Q201" s="2" t="s">
        <v>156</v>
      </c>
      <c r="S201" s="2" t="s">
        <v>42</v>
      </c>
      <c r="T201" s="2" t="s">
        <v>43</v>
      </c>
      <c r="U201" s="2" t="s">
        <v>44</v>
      </c>
      <c r="V201" s="2" t="s">
        <v>45</v>
      </c>
      <c r="W201" s="2">
        <v>754</v>
      </c>
      <c r="X201" s="2" t="s">
        <v>46</v>
      </c>
      <c r="Y201" s="2" t="s">
        <v>47</v>
      </c>
      <c r="AA201" s="2" t="s">
        <v>48</v>
      </c>
      <c r="AB201" s="2">
        <v>1</v>
      </c>
      <c r="AC201" s="2" t="s">
        <v>482</v>
      </c>
      <c r="AD201" s="2" t="s">
        <v>50</v>
      </c>
      <c r="AE201" s="4">
        <v>10.056783299999999</v>
      </c>
      <c r="AF201" s="4">
        <v>-10.665833299999999</v>
      </c>
      <c r="AG201" s="2" t="s">
        <v>51</v>
      </c>
      <c r="AI201" s="2" t="s">
        <v>52</v>
      </c>
      <c r="AJ201" s="2" t="str">
        <f>IF(Table1[[#This Row],[Host]]="Mastomys natalensis", "Mn", IF(Table1[[#This Row],[Host]]="Homo Sapiens","Human","PROBLEMMEMEMMEMEMEMM"))</f>
        <v>Mn</v>
      </c>
      <c r="AK201" s="2" t="s">
        <v>53</v>
      </c>
      <c r="AL201" s="5">
        <v>41732</v>
      </c>
      <c r="AM201" s="6" t="s">
        <v>1081</v>
      </c>
      <c r="AO201" s="2" t="s">
        <v>581</v>
      </c>
    </row>
    <row r="202" spans="1:41" x14ac:dyDescent="0.3">
      <c r="A202" s="2">
        <v>217</v>
      </c>
      <c r="B202" s="2" t="str">
        <f>_xlfn.CONCAT(Table1[[#This Row],[Acession_no_.1]],"|",Table1[[#This Row],[Strain name]],"|",Table1[[#This Row],[host_simple]],"|",Table1[[#This Row],[Country]],"|",Table1[[#This Row],[date_text]])</f>
        <v>MN123686|Sok44|Mn|Guinea|2014-04-03</v>
      </c>
      <c r="C202" s="2" t="s">
        <v>1340</v>
      </c>
      <c r="D202" s="2" t="str">
        <f>IF(ISNUMBER(MATCH(B202,finalSelection!$A$1:$A$497,0)),"yes","no")</f>
        <v>yes</v>
      </c>
      <c r="E202" s="2" t="s">
        <v>967</v>
      </c>
      <c r="F202" s="2" t="s">
        <v>582</v>
      </c>
      <c r="H202" s="2" t="s">
        <v>583</v>
      </c>
      <c r="I202" s="2" t="s">
        <v>36</v>
      </c>
      <c r="J202" s="2" t="s">
        <v>37</v>
      </c>
      <c r="K202" s="2" t="s">
        <v>38</v>
      </c>
      <c r="L202" s="2" t="s">
        <v>37</v>
      </c>
      <c r="M202" s="2" t="str">
        <f>VLOOKUP(C202,seqConcatenated!$A$1:$B$124,2, FALSE)</f>
        <v>MN123686 and KT833212 are merged</v>
      </c>
      <c r="N202" s="2" t="str">
        <f>IF(ISNA(Table1[[#This Row],[Column2]]),Table1[[#This Row],[comments2]], IF(O202="NA",M202,_xlfn.CONCAT(O202,"--",M202)))</f>
        <v>MN123686 and KT833212 are merged</v>
      </c>
      <c r="O202" s="2" t="s">
        <v>39</v>
      </c>
      <c r="P202" s="2" t="s">
        <v>150</v>
      </c>
      <c r="Q202" s="2" t="s">
        <v>151</v>
      </c>
      <c r="S202" s="2" t="s">
        <v>42</v>
      </c>
      <c r="T202" s="2" t="s">
        <v>43</v>
      </c>
      <c r="U202" s="2" t="s">
        <v>44</v>
      </c>
      <c r="V202" s="2" t="s">
        <v>45</v>
      </c>
      <c r="W202" s="2">
        <v>888</v>
      </c>
      <c r="X202" s="2" t="s">
        <v>46</v>
      </c>
      <c r="Y202" s="2" t="s">
        <v>47</v>
      </c>
      <c r="AA202" s="2" t="s">
        <v>48</v>
      </c>
      <c r="AB202" s="2">
        <v>1</v>
      </c>
      <c r="AC202" s="2" t="s">
        <v>482</v>
      </c>
      <c r="AD202" s="2" t="s">
        <v>50</v>
      </c>
      <c r="AE202" s="4">
        <v>10.056783299999999</v>
      </c>
      <c r="AF202" s="4">
        <v>-10.665833299999999</v>
      </c>
      <c r="AG202" s="2" t="s">
        <v>51</v>
      </c>
      <c r="AI202" s="2" t="s">
        <v>52</v>
      </c>
      <c r="AJ202" s="2" t="str">
        <f>IF(Table1[[#This Row],[Host]]="Mastomys natalensis", "Mn", IF(Table1[[#This Row],[Host]]="Homo Sapiens","Human","PROBLEMMEMEMMEMEMEMM"))</f>
        <v>Mn</v>
      </c>
      <c r="AK202" s="2" t="s">
        <v>53</v>
      </c>
      <c r="AL202" s="5">
        <v>41732</v>
      </c>
      <c r="AM202" s="6" t="s">
        <v>1081</v>
      </c>
      <c r="AO202" s="2" t="s">
        <v>584</v>
      </c>
    </row>
    <row r="203" spans="1:41" x14ac:dyDescent="0.3">
      <c r="A203" s="2">
        <v>308</v>
      </c>
      <c r="B203" s="2" t="str">
        <f>_xlfn.CONCAT(Table1[[#This Row],[Acession_no_.1]],"|",Table1[[#This Row],[Strain name]],"|",Table1[[#This Row],[host_simple]],"|",Table1[[#This Row],[Country]],"|",Table1[[#This Row],[date_text]])</f>
        <v>KT833212|Sok44|Mn|Guinea|2014-04-03</v>
      </c>
      <c r="C203" s="2" t="s">
        <v>1340</v>
      </c>
      <c r="D203" s="2" t="str">
        <f>IF(ISNUMBER(MATCH(B203,finalSelection!$A$1:$A$497,0)),"yes","no")</f>
        <v>no</v>
      </c>
      <c r="E203" s="2" t="s">
        <v>968</v>
      </c>
      <c r="F203" s="2" t="s">
        <v>585</v>
      </c>
      <c r="H203" s="2" t="s">
        <v>583</v>
      </c>
      <c r="I203" s="2" t="s">
        <v>56</v>
      </c>
      <c r="J203" s="2" t="s">
        <v>279</v>
      </c>
      <c r="K203" s="2" t="s">
        <v>38</v>
      </c>
      <c r="L203" s="2" t="s">
        <v>37</v>
      </c>
      <c r="M203" s="2" t="str">
        <f>VLOOKUP(C203,seqConcatenated!$A$1:$B$124,2, FALSE)</f>
        <v>MN123686 and KT833212 are merged</v>
      </c>
      <c r="N203" s="2" t="str">
        <f>IF(ISNA(Table1[[#This Row],[Column2]]),Table1[[#This Row],[comments2]], IF(O203="NA",M203,_xlfn.CONCAT(O203,"--",M203)))</f>
        <v>MN123686 and KT833212 are merged</v>
      </c>
      <c r="O203" s="2" t="s">
        <v>39</v>
      </c>
      <c r="P203" s="2" t="s">
        <v>155</v>
      </c>
      <c r="Q203" s="2" t="s">
        <v>156</v>
      </c>
      <c r="S203" s="2" t="s">
        <v>42</v>
      </c>
      <c r="T203" s="2" t="s">
        <v>43</v>
      </c>
      <c r="U203" s="2" t="s">
        <v>44</v>
      </c>
      <c r="V203" s="2" t="s">
        <v>45</v>
      </c>
      <c r="W203" s="2">
        <v>754</v>
      </c>
      <c r="X203" s="2" t="s">
        <v>46</v>
      </c>
      <c r="Y203" s="2" t="s">
        <v>47</v>
      </c>
      <c r="AA203" s="2" t="s">
        <v>48</v>
      </c>
      <c r="AB203" s="2">
        <v>1</v>
      </c>
      <c r="AC203" s="2" t="s">
        <v>482</v>
      </c>
      <c r="AD203" s="2" t="s">
        <v>50</v>
      </c>
      <c r="AE203" s="4">
        <v>10.056783299999999</v>
      </c>
      <c r="AF203" s="4">
        <v>-10.665833299999999</v>
      </c>
      <c r="AG203" s="2" t="s">
        <v>51</v>
      </c>
      <c r="AI203" s="2" t="s">
        <v>52</v>
      </c>
      <c r="AJ203" s="2" t="str">
        <f>IF(Table1[[#This Row],[Host]]="Mastomys natalensis", "Mn", IF(Table1[[#This Row],[Host]]="Homo Sapiens","Human","PROBLEMMEMEMMEMEMEMM"))</f>
        <v>Mn</v>
      </c>
      <c r="AK203" s="2" t="s">
        <v>53</v>
      </c>
      <c r="AL203" s="5">
        <v>41732</v>
      </c>
      <c r="AM203" s="6" t="s">
        <v>1081</v>
      </c>
      <c r="AO203" s="2" t="s">
        <v>586</v>
      </c>
    </row>
    <row r="204" spans="1:41" x14ac:dyDescent="0.3">
      <c r="A204" s="2">
        <v>218</v>
      </c>
      <c r="B204" s="2" t="str">
        <f>_xlfn.CONCAT(Table1[[#This Row],[Acession_no_.1]],"|",Table1[[#This Row],[Strain name]],"|",Table1[[#This Row],[host_simple]],"|",Table1[[#This Row],[Country]],"|",Table1[[#This Row],[date_text]])</f>
        <v>MN123687|Sok51|Mn|Guinea|2014-04-03</v>
      </c>
      <c r="C204" s="2" t="s">
        <v>1341</v>
      </c>
      <c r="D204" s="2" t="str">
        <f>IF(ISNUMBER(MATCH(B204,finalSelection!$A$1:$A$497,0)),"yes","no")</f>
        <v>yes</v>
      </c>
      <c r="E204" s="2" t="s">
        <v>969</v>
      </c>
      <c r="F204" s="2" t="s">
        <v>587</v>
      </c>
      <c r="H204" s="2" t="s">
        <v>588</v>
      </c>
      <c r="I204" s="2" t="s">
        <v>36</v>
      </c>
      <c r="J204" s="2" t="s">
        <v>37</v>
      </c>
      <c r="K204" s="2" t="s">
        <v>38</v>
      </c>
      <c r="L204" s="2" t="s">
        <v>37</v>
      </c>
      <c r="M204" s="2" t="str">
        <f>VLOOKUP(C204,seqConcatenated!$A$1:$B$124,2, FALSE)</f>
        <v>MN123687 and KT833213 are merged</v>
      </c>
      <c r="N204" s="2" t="str">
        <f>IF(ISNA(Table1[[#This Row],[Column2]]),Table1[[#This Row],[comments2]], IF(O204="NA",M204,_xlfn.CONCAT(O204,"--",M204)))</f>
        <v>MN123687 and KT833213 are merged</v>
      </c>
      <c r="O204" s="2" t="s">
        <v>39</v>
      </c>
      <c r="P204" s="2" t="s">
        <v>150</v>
      </c>
      <c r="Q204" s="2" t="s">
        <v>151</v>
      </c>
      <c r="S204" s="2" t="s">
        <v>42</v>
      </c>
      <c r="T204" s="2" t="s">
        <v>43</v>
      </c>
      <c r="U204" s="2" t="s">
        <v>44</v>
      </c>
      <c r="V204" s="2" t="s">
        <v>45</v>
      </c>
      <c r="W204" s="2">
        <v>888</v>
      </c>
      <c r="X204" s="2" t="s">
        <v>46</v>
      </c>
      <c r="Y204" s="2" t="s">
        <v>47</v>
      </c>
      <c r="AA204" s="2" t="s">
        <v>48</v>
      </c>
      <c r="AB204" s="2">
        <v>1</v>
      </c>
      <c r="AC204" s="2" t="s">
        <v>482</v>
      </c>
      <c r="AD204" s="2" t="s">
        <v>50</v>
      </c>
      <c r="AE204" s="4">
        <v>10.056783299999999</v>
      </c>
      <c r="AF204" s="4">
        <v>-10.665833299999999</v>
      </c>
      <c r="AG204" s="2" t="s">
        <v>51</v>
      </c>
      <c r="AI204" s="2" t="s">
        <v>52</v>
      </c>
      <c r="AJ204" s="2" t="str">
        <f>IF(Table1[[#This Row],[Host]]="Mastomys natalensis", "Mn", IF(Table1[[#This Row],[Host]]="Homo Sapiens","Human","PROBLEMMEMEMMEMEMEMM"))</f>
        <v>Mn</v>
      </c>
      <c r="AK204" s="2" t="s">
        <v>53</v>
      </c>
      <c r="AL204" s="5">
        <v>41732</v>
      </c>
      <c r="AM204" s="6" t="s">
        <v>1081</v>
      </c>
      <c r="AO204" s="2" t="s">
        <v>589</v>
      </c>
    </row>
    <row r="205" spans="1:41" x14ac:dyDescent="0.3">
      <c r="A205" s="2">
        <v>309</v>
      </c>
      <c r="B205" s="2" t="str">
        <f>_xlfn.CONCAT(Table1[[#This Row],[Acession_no_.1]],"|",Table1[[#This Row],[Strain name]],"|",Table1[[#This Row],[host_simple]],"|",Table1[[#This Row],[Country]],"|",Table1[[#This Row],[date_text]])</f>
        <v>KT833213|Sok51|Mn|Guinea|2014-04-03</v>
      </c>
      <c r="C205" s="2" t="s">
        <v>1341</v>
      </c>
      <c r="D205" s="2" t="str">
        <f>IF(ISNUMBER(MATCH(B205,finalSelection!$A$1:$A$497,0)),"yes","no")</f>
        <v>no</v>
      </c>
      <c r="E205" s="2" t="s">
        <v>970</v>
      </c>
      <c r="F205" s="2" t="s">
        <v>590</v>
      </c>
      <c r="H205" s="2" t="s">
        <v>588</v>
      </c>
      <c r="I205" s="2" t="s">
        <v>56</v>
      </c>
      <c r="J205" s="2" t="s">
        <v>154</v>
      </c>
      <c r="K205" s="2" t="s">
        <v>38</v>
      </c>
      <c r="L205" s="2" t="s">
        <v>37</v>
      </c>
      <c r="M205" s="2" t="str">
        <f>VLOOKUP(C205,seqConcatenated!$A$1:$B$124,2, FALSE)</f>
        <v>MN123687 and KT833213 are merged</v>
      </c>
      <c r="N205" s="2" t="str">
        <f>IF(ISNA(Table1[[#This Row],[Column2]]),Table1[[#This Row],[comments2]], IF(O205="NA",M205,_xlfn.CONCAT(O205,"--",M205)))</f>
        <v>MN123687 and KT833213 are merged</v>
      </c>
      <c r="O205" s="2" t="s">
        <v>39</v>
      </c>
      <c r="P205" s="2" t="s">
        <v>155</v>
      </c>
      <c r="Q205" s="2" t="s">
        <v>156</v>
      </c>
      <c r="S205" s="2" t="s">
        <v>42</v>
      </c>
      <c r="T205" s="2" t="s">
        <v>43</v>
      </c>
      <c r="U205" s="2" t="s">
        <v>44</v>
      </c>
      <c r="V205" s="2" t="s">
        <v>45</v>
      </c>
      <c r="W205" s="2">
        <v>754</v>
      </c>
      <c r="X205" s="2" t="s">
        <v>46</v>
      </c>
      <c r="Y205" s="2" t="s">
        <v>47</v>
      </c>
      <c r="AA205" s="2" t="s">
        <v>48</v>
      </c>
      <c r="AB205" s="2">
        <v>1</v>
      </c>
      <c r="AC205" s="2" t="s">
        <v>482</v>
      </c>
      <c r="AD205" s="2" t="s">
        <v>50</v>
      </c>
      <c r="AE205" s="4">
        <v>10.056783299999999</v>
      </c>
      <c r="AF205" s="4">
        <v>-10.665833299999999</v>
      </c>
      <c r="AG205" s="2" t="s">
        <v>51</v>
      </c>
      <c r="AI205" s="2" t="s">
        <v>52</v>
      </c>
      <c r="AJ205" s="2" t="str">
        <f>IF(Table1[[#This Row],[Host]]="Mastomys natalensis", "Mn", IF(Table1[[#This Row],[Host]]="Homo Sapiens","Human","PROBLEMMEMEMMEMEMEMM"))</f>
        <v>Mn</v>
      </c>
      <c r="AK205" s="2" t="s">
        <v>53</v>
      </c>
      <c r="AL205" s="5">
        <v>41732</v>
      </c>
      <c r="AM205" s="6" t="s">
        <v>1081</v>
      </c>
      <c r="AO205" s="2" t="s">
        <v>591</v>
      </c>
    </row>
    <row r="206" spans="1:41" x14ac:dyDescent="0.3">
      <c r="A206" s="2">
        <v>219</v>
      </c>
      <c r="B206" s="2" t="str">
        <f>_xlfn.CONCAT(Table1[[#This Row],[Acession_no_.1]],"|",Table1[[#This Row],[Strain name]],"|",Table1[[#This Row],[host_simple]],"|",Table1[[#This Row],[Country]],"|",Table1[[#This Row],[date_text]])</f>
        <v>MN123688|Sok61|Mn|Guinea|2014-04-04</v>
      </c>
      <c r="C206" s="2" t="s">
        <v>1342</v>
      </c>
      <c r="D206" s="2" t="str">
        <f>IF(ISNUMBER(MATCH(B206,finalSelection!$A$1:$A$497,0)),"yes","no")</f>
        <v>yes</v>
      </c>
      <c r="E206" s="2" t="s">
        <v>971</v>
      </c>
      <c r="F206" s="2" t="s">
        <v>592</v>
      </c>
      <c r="H206" s="2" t="s">
        <v>593</v>
      </c>
      <c r="I206" s="2" t="s">
        <v>36</v>
      </c>
      <c r="J206" s="2" t="s">
        <v>37</v>
      </c>
      <c r="K206" s="2" t="s">
        <v>38</v>
      </c>
      <c r="L206" s="2" t="s">
        <v>37</v>
      </c>
      <c r="M206" s="2" t="str">
        <f>VLOOKUP(C206,seqConcatenated!$A$1:$B$124,2, FALSE)</f>
        <v>MN123688 and KT833214 are merged</v>
      </c>
      <c r="N206" s="2" t="str">
        <f>IF(ISNA(Table1[[#This Row],[Column2]]),Table1[[#This Row],[comments2]], IF(O206="NA",M206,_xlfn.CONCAT(O206,"--",M206)))</f>
        <v>MN123688 and KT833214 are merged</v>
      </c>
      <c r="O206" s="2" t="s">
        <v>39</v>
      </c>
      <c r="P206" s="2" t="s">
        <v>150</v>
      </c>
      <c r="Q206" s="2" t="s">
        <v>151</v>
      </c>
      <c r="S206" s="2" t="s">
        <v>42</v>
      </c>
      <c r="T206" s="2" t="s">
        <v>43</v>
      </c>
      <c r="U206" s="2" t="s">
        <v>44</v>
      </c>
      <c r="V206" s="2" t="s">
        <v>45</v>
      </c>
      <c r="W206" s="2">
        <v>870</v>
      </c>
      <c r="X206" s="2" t="s">
        <v>46</v>
      </c>
      <c r="Y206" s="2" t="s">
        <v>47</v>
      </c>
      <c r="AA206" s="2" t="s">
        <v>48</v>
      </c>
      <c r="AB206" s="2">
        <v>1</v>
      </c>
      <c r="AC206" s="2" t="s">
        <v>482</v>
      </c>
      <c r="AD206" s="2" t="s">
        <v>50</v>
      </c>
      <c r="AE206" s="4">
        <v>10.056783299999999</v>
      </c>
      <c r="AF206" s="4">
        <v>-10.665833299999999</v>
      </c>
      <c r="AG206" s="2" t="s">
        <v>51</v>
      </c>
      <c r="AI206" s="2" t="s">
        <v>52</v>
      </c>
      <c r="AJ206" s="2" t="str">
        <f>IF(Table1[[#This Row],[Host]]="Mastomys natalensis", "Mn", IF(Table1[[#This Row],[Host]]="Homo Sapiens","Human","PROBLEMMEMEMMEMEMEMM"))</f>
        <v>Mn</v>
      </c>
      <c r="AK206" s="2" t="s">
        <v>53</v>
      </c>
      <c r="AL206" s="5">
        <v>41733</v>
      </c>
      <c r="AM206" s="6" t="s">
        <v>1082</v>
      </c>
      <c r="AO206" s="2" t="s">
        <v>594</v>
      </c>
    </row>
    <row r="207" spans="1:41" x14ac:dyDescent="0.3">
      <c r="A207" s="2">
        <v>310</v>
      </c>
      <c r="B207" s="2" t="str">
        <f>_xlfn.CONCAT(Table1[[#This Row],[Acession_no_.1]],"|",Table1[[#This Row],[Strain name]],"|",Table1[[#This Row],[host_simple]],"|",Table1[[#This Row],[Country]],"|",Table1[[#This Row],[date_text]])</f>
        <v>KT833214|Sok61|Mn|Guinea|2014-04-04</v>
      </c>
      <c r="C207" s="2" t="s">
        <v>1342</v>
      </c>
      <c r="D207" s="2" t="str">
        <f>IF(ISNUMBER(MATCH(B207,finalSelection!$A$1:$A$497,0)),"yes","no")</f>
        <v>no</v>
      </c>
      <c r="E207" s="2" t="s">
        <v>972</v>
      </c>
      <c r="F207" s="2" t="s">
        <v>595</v>
      </c>
      <c r="H207" s="2" t="s">
        <v>593</v>
      </c>
      <c r="I207" s="2" t="s">
        <v>56</v>
      </c>
      <c r="J207" s="2" t="s">
        <v>154</v>
      </c>
      <c r="K207" s="2" t="s">
        <v>38</v>
      </c>
      <c r="L207" s="2" t="s">
        <v>37</v>
      </c>
      <c r="M207" s="2" t="str">
        <f>VLOOKUP(C207,seqConcatenated!$A$1:$B$124,2, FALSE)</f>
        <v>MN123688 and KT833214 are merged</v>
      </c>
      <c r="N207" s="2" t="str">
        <f>IF(ISNA(Table1[[#This Row],[Column2]]),Table1[[#This Row],[comments2]], IF(O207="NA",M207,_xlfn.CONCAT(O207,"--",M207)))</f>
        <v>MN123688 and KT833214 are merged</v>
      </c>
      <c r="O207" s="2" t="s">
        <v>39</v>
      </c>
      <c r="P207" s="2" t="s">
        <v>155</v>
      </c>
      <c r="Q207" s="2" t="s">
        <v>156</v>
      </c>
      <c r="S207" s="2" t="s">
        <v>42</v>
      </c>
      <c r="T207" s="2" t="s">
        <v>43</v>
      </c>
      <c r="U207" s="2" t="s">
        <v>44</v>
      </c>
      <c r="V207" s="2" t="s">
        <v>45</v>
      </c>
      <c r="W207" s="2">
        <v>754</v>
      </c>
      <c r="X207" s="2" t="s">
        <v>46</v>
      </c>
      <c r="Y207" s="2" t="s">
        <v>47</v>
      </c>
      <c r="AA207" s="2" t="s">
        <v>48</v>
      </c>
      <c r="AB207" s="2">
        <v>1</v>
      </c>
      <c r="AC207" s="2" t="s">
        <v>482</v>
      </c>
      <c r="AD207" s="2" t="s">
        <v>50</v>
      </c>
      <c r="AE207" s="4">
        <v>10.056783299999999</v>
      </c>
      <c r="AF207" s="4">
        <v>-10.665833299999999</v>
      </c>
      <c r="AG207" s="2" t="s">
        <v>51</v>
      </c>
      <c r="AI207" s="2" t="s">
        <v>52</v>
      </c>
      <c r="AJ207" s="2" t="str">
        <f>IF(Table1[[#This Row],[Host]]="Mastomys natalensis", "Mn", IF(Table1[[#This Row],[Host]]="Homo Sapiens","Human","PROBLEMMEMEMMEMEMEMM"))</f>
        <v>Mn</v>
      </c>
      <c r="AK207" s="2" t="s">
        <v>53</v>
      </c>
      <c r="AL207" s="5">
        <v>41733</v>
      </c>
      <c r="AM207" s="6" t="s">
        <v>1082</v>
      </c>
      <c r="AO207" s="2" t="s">
        <v>596</v>
      </c>
    </row>
    <row r="208" spans="1:41" x14ac:dyDescent="0.3">
      <c r="A208" s="2">
        <v>220</v>
      </c>
      <c r="B208" s="2" t="str">
        <f>_xlfn.CONCAT(Table1[[#This Row],[Acession_no_.1]],"|",Table1[[#This Row],[Strain name]],"|",Table1[[#This Row],[host_simple]],"|",Table1[[#This Row],[Country]],"|",Table1[[#This Row],[date_text]])</f>
        <v>MN123689|Sok75|Mn|Guinea|2014-04-05</v>
      </c>
      <c r="C208" s="2" t="s">
        <v>1343</v>
      </c>
      <c r="D208" s="2" t="str">
        <f>IF(ISNUMBER(MATCH(B208,finalSelection!$A$1:$A$497,0)),"yes","no")</f>
        <v>yes</v>
      </c>
      <c r="E208" s="2" t="s">
        <v>973</v>
      </c>
      <c r="F208" s="2" t="s">
        <v>597</v>
      </c>
      <c r="H208" s="2" t="s">
        <v>598</v>
      </c>
      <c r="I208" s="2" t="s">
        <v>36</v>
      </c>
      <c r="J208" s="2" t="s">
        <v>37</v>
      </c>
      <c r="K208" s="2" t="s">
        <v>38</v>
      </c>
      <c r="L208" s="2" t="s">
        <v>37</v>
      </c>
      <c r="M208" s="2" t="str">
        <f>VLOOKUP(C208,seqConcatenated!$A$1:$B$124,2, FALSE)</f>
        <v>MN123689 and KT833216 are merged</v>
      </c>
      <c r="N208" s="2" t="str">
        <f>IF(ISNA(Table1[[#This Row],[Column2]]),Table1[[#This Row],[comments2]], IF(O208="NA",M208,_xlfn.CONCAT(O208,"--",M208)))</f>
        <v>MN123689 and KT833216 are merged</v>
      </c>
      <c r="O208" s="2" t="s">
        <v>39</v>
      </c>
      <c r="P208" s="2" t="s">
        <v>150</v>
      </c>
      <c r="Q208" s="2" t="s">
        <v>151</v>
      </c>
      <c r="S208" s="2" t="s">
        <v>42</v>
      </c>
      <c r="T208" s="2" t="s">
        <v>43</v>
      </c>
      <c r="U208" s="2" t="s">
        <v>44</v>
      </c>
      <c r="V208" s="2" t="s">
        <v>45</v>
      </c>
      <c r="W208" s="2">
        <v>888</v>
      </c>
      <c r="X208" s="2" t="s">
        <v>46</v>
      </c>
      <c r="Y208" s="2" t="s">
        <v>47</v>
      </c>
      <c r="AA208" s="2" t="s">
        <v>48</v>
      </c>
      <c r="AB208" s="2">
        <v>1</v>
      </c>
      <c r="AC208" s="2" t="s">
        <v>482</v>
      </c>
      <c r="AD208" s="2" t="s">
        <v>50</v>
      </c>
      <c r="AE208" s="4">
        <v>10.056783299999999</v>
      </c>
      <c r="AF208" s="4">
        <v>-10.665833299999999</v>
      </c>
      <c r="AG208" s="2" t="s">
        <v>51</v>
      </c>
      <c r="AI208" s="2" t="s">
        <v>52</v>
      </c>
      <c r="AJ208" s="2" t="str">
        <f>IF(Table1[[#This Row],[Host]]="Mastomys natalensis", "Mn", IF(Table1[[#This Row],[Host]]="Homo Sapiens","Human","PROBLEMMEMEMMEMEMEMM"))</f>
        <v>Mn</v>
      </c>
      <c r="AK208" s="2" t="s">
        <v>53</v>
      </c>
      <c r="AL208" s="5">
        <v>41734</v>
      </c>
      <c r="AM208" s="6" t="s">
        <v>1083</v>
      </c>
      <c r="AO208" s="2" t="s">
        <v>599</v>
      </c>
    </row>
    <row r="209" spans="1:41" x14ac:dyDescent="0.3">
      <c r="A209" s="2">
        <v>312</v>
      </c>
      <c r="B209" s="2" t="str">
        <f>_xlfn.CONCAT(Table1[[#This Row],[Acession_no_.1]],"|",Table1[[#This Row],[Strain name]],"|",Table1[[#This Row],[host_simple]],"|",Table1[[#This Row],[Country]],"|",Table1[[#This Row],[date_text]])</f>
        <v>KT833216|Sok75|Mn|Guinea|2014-04-05</v>
      </c>
      <c r="C209" s="2" t="s">
        <v>1343</v>
      </c>
      <c r="D209" s="2" t="str">
        <f>IF(ISNUMBER(MATCH(B209,finalSelection!$A$1:$A$497,0)),"yes","no")</f>
        <v>no</v>
      </c>
      <c r="E209" s="2" t="s">
        <v>974</v>
      </c>
      <c r="F209" s="2" t="s">
        <v>600</v>
      </c>
      <c r="H209" s="2" t="s">
        <v>598</v>
      </c>
      <c r="I209" s="2" t="s">
        <v>56</v>
      </c>
      <c r="J209" s="2" t="s">
        <v>279</v>
      </c>
      <c r="K209" s="2" t="s">
        <v>38</v>
      </c>
      <c r="L209" s="2" t="s">
        <v>37</v>
      </c>
      <c r="M209" s="2" t="str">
        <f>VLOOKUP(C209,seqConcatenated!$A$1:$B$124,2, FALSE)</f>
        <v>MN123689 and KT833216 are merged</v>
      </c>
      <c r="N209" s="2" t="str">
        <f>IF(ISNA(Table1[[#This Row],[Column2]]),Table1[[#This Row],[comments2]], IF(O209="NA",M209,_xlfn.CONCAT(O209,"--",M209)))</f>
        <v>MN123689 and KT833216 are merged</v>
      </c>
      <c r="O209" s="2" t="s">
        <v>39</v>
      </c>
      <c r="P209" s="2" t="s">
        <v>155</v>
      </c>
      <c r="Q209" s="2" t="s">
        <v>156</v>
      </c>
      <c r="S209" s="2" t="s">
        <v>42</v>
      </c>
      <c r="T209" s="2" t="s">
        <v>43</v>
      </c>
      <c r="U209" s="2" t="s">
        <v>44</v>
      </c>
      <c r="V209" s="2" t="s">
        <v>45</v>
      </c>
      <c r="W209" s="2">
        <v>754</v>
      </c>
      <c r="X209" s="2" t="s">
        <v>46</v>
      </c>
      <c r="Y209" s="2" t="s">
        <v>47</v>
      </c>
      <c r="AA209" s="2" t="s">
        <v>48</v>
      </c>
      <c r="AB209" s="2">
        <v>1</v>
      </c>
      <c r="AC209" s="2" t="s">
        <v>482</v>
      </c>
      <c r="AD209" s="2" t="s">
        <v>50</v>
      </c>
      <c r="AE209" s="4">
        <v>10.056783299999999</v>
      </c>
      <c r="AF209" s="4">
        <v>-10.665833299999999</v>
      </c>
      <c r="AG209" s="2" t="s">
        <v>51</v>
      </c>
      <c r="AI209" s="2" t="s">
        <v>52</v>
      </c>
      <c r="AJ209" s="2" t="str">
        <f>IF(Table1[[#This Row],[Host]]="Mastomys natalensis", "Mn", IF(Table1[[#This Row],[Host]]="Homo Sapiens","Human","PROBLEMMEMEMMEMEMEMM"))</f>
        <v>Mn</v>
      </c>
      <c r="AK209" s="2" t="s">
        <v>53</v>
      </c>
      <c r="AL209" s="5">
        <v>41734</v>
      </c>
      <c r="AM209" s="6" t="s">
        <v>1083</v>
      </c>
      <c r="AO209" s="2" t="s">
        <v>601</v>
      </c>
    </row>
    <row r="210" spans="1:41" x14ac:dyDescent="0.3">
      <c r="A210" s="2">
        <v>78</v>
      </c>
      <c r="B210" s="2" t="str">
        <f>_xlfn.CONCAT(Table1[[#This Row],[Acession_no_.1]],"|",Table1[[#This Row],[Strain name]],"|",Table1[[#This Row],[host_simple]],"|",Table1[[#This Row],[Country]],"|",Table1[[#This Row],[date_text]])</f>
        <v>MT119537|Son-105|Mn|Guinea|2014-04-09</v>
      </c>
      <c r="C210" s="2" t="s">
        <v>1344</v>
      </c>
      <c r="D210" s="2" t="str">
        <f>IF(ISNUMBER(MATCH(B210,finalSelection!$A$1:$A$497,0)),"yes","no")</f>
        <v>no</v>
      </c>
      <c r="E210" s="2" t="s">
        <v>975</v>
      </c>
      <c r="F210" s="2" t="s">
        <v>602</v>
      </c>
      <c r="H210" s="2" t="s">
        <v>603</v>
      </c>
      <c r="I210" s="2" t="s">
        <v>36</v>
      </c>
      <c r="J210" s="2" t="s">
        <v>37</v>
      </c>
      <c r="K210" s="2" t="s">
        <v>38</v>
      </c>
      <c r="L210" s="2" t="s">
        <v>37</v>
      </c>
      <c r="M210" s="2" t="str">
        <f>VLOOKUP(C210,seqConcatenated!$A$1:$B$124,2, FALSE)</f>
        <v>MT119537 and MT119622 are merged</v>
      </c>
      <c r="N210" s="2" t="str">
        <f>IF(ISNA(Table1[[#This Row],[Column2]]),Table1[[#This Row],[comments2]], IF(O210="NA",M210,_xlfn.CONCAT(O210,"--",M210)))</f>
        <v>MT119537 and MT119622 are merged</v>
      </c>
      <c r="O210" s="2" t="s">
        <v>39</v>
      </c>
      <c r="P210" s="2" t="s">
        <v>40</v>
      </c>
      <c r="Q210" s="2" t="s">
        <v>41</v>
      </c>
      <c r="S210" s="2" t="s">
        <v>42</v>
      </c>
      <c r="T210" s="2" t="s">
        <v>43</v>
      </c>
      <c r="U210" s="2" t="s">
        <v>44</v>
      </c>
      <c r="V210" s="2" t="s">
        <v>45</v>
      </c>
      <c r="W210" s="2">
        <v>888</v>
      </c>
      <c r="X210" s="2" t="s">
        <v>46</v>
      </c>
      <c r="Y210" s="2" t="s">
        <v>47</v>
      </c>
      <c r="AA210" s="2" t="s">
        <v>48</v>
      </c>
      <c r="AB210" s="2">
        <v>1</v>
      </c>
      <c r="AC210" s="2" t="s">
        <v>604</v>
      </c>
      <c r="AD210" s="2" t="s">
        <v>50</v>
      </c>
      <c r="AE210" s="4">
        <v>9.9127170000000007</v>
      </c>
      <c r="AF210" s="4">
        <v>-10.798133</v>
      </c>
      <c r="AG210" s="2" t="s">
        <v>51</v>
      </c>
      <c r="AI210" s="2" t="s">
        <v>52</v>
      </c>
      <c r="AJ210" s="2" t="str">
        <f>IF(Table1[[#This Row],[Host]]="Mastomys natalensis", "Mn", IF(Table1[[#This Row],[Host]]="Homo Sapiens","Human","PROBLEMMEMEMMEMEMEMM"))</f>
        <v>Mn</v>
      </c>
      <c r="AK210" s="2" t="s">
        <v>53</v>
      </c>
      <c r="AL210" s="5">
        <v>41738</v>
      </c>
      <c r="AM210" s="6" t="s">
        <v>1086</v>
      </c>
      <c r="AO210" s="2" t="s">
        <v>605</v>
      </c>
    </row>
    <row r="211" spans="1:41" x14ac:dyDescent="0.3">
      <c r="A211" s="2">
        <v>163</v>
      </c>
      <c r="B211" s="2" t="str">
        <f>_xlfn.CONCAT(Table1[[#This Row],[Acession_no_.1]],"|",Table1[[#This Row],[Strain name]],"|",Table1[[#This Row],[host_simple]],"|",Table1[[#This Row],[Country]],"|",Table1[[#This Row],[date_text]])</f>
        <v>MT119622|Son-105|Mn|Guinea|2014-04-09</v>
      </c>
      <c r="C211" s="2" t="s">
        <v>1344</v>
      </c>
      <c r="D211" s="2" t="str">
        <f>IF(ISNUMBER(MATCH(B211,finalSelection!$A$1:$A$497,0)),"yes","no")</f>
        <v>no</v>
      </c>
      <c r="E211" s="2" t="s">
        <v>976</v>
      </c>
      <c r="F211" s="2" t="s">
        <v>606</v>
      </c>
      <c r="H211" s="2" t="s">
        <v>603</v>
      </c>
      <c r="I211" s="2" t="s">
        <v>56</v>
      </c>
      <c r="J211" s="2" t="s">
        <v>37</v>
      </c>
      <c r="K211" s="2" t="s">
        <v>38</v>
      </c>
      <c r="L211" s="2" t="s">
        <v>37</v>
      </c>
      <c r="M211" s="2" t="str">
        <f>VLOOKUP(C211,seqConcatenated!$A$1:$B$124,2, FALSE)</f>
        <v>MT119537 and MT119622 are merged</v>
      </c>
      <c r="N211" s="2" t="str">
        <f>IF(ISNA(Table1[[#This Row],[Column2]]),Table1[[#This Row],[comments2]], IF(O211="NA",M211,_xlfn.CONCAT(O211,"--",M211)))</f>
        <v>MT119537 and MT119622 are merged</v>
      </c>
      <c r="O211" s="2" t="s">
        <v>39</v>
      </c>
      <c r="P211" s="2" t="s">
        <v>40</v>
      </c>
      <c r="Q211" s="2" t="s">
        <v>41</v>
      </c>
      <c r="S211" s="2" t="s">
        <v>42</v>
      </c>
      <c r="T211" s="2" t="s">
        <v>43</v>
      </c>
      <c r="U211" s="2" t="s">
        <v>44</v>
      </c>
      <c r="V211" s="2" t="s">
        <v>45</v>
      </c>
      <c r="W211" s="2">
        <v>724</v>
      </c>
      <c r="X211" s="2" t="s">
        <v>46</v>
      </c>
      <c r="Y211" s="2" t="s">
        <v>47</v>
      </c>
      <c r="AA211" s="2" t="s">
        <v>48</v>
      </c>
      <c r="AB211" s="2">
        <v>1</v>
      </c>
      <c r="AC211" s="2" t="s">
        <v>604</v>
      </c>
      <c r="AD211" s="2" t="s">
        <v>50</v>
      </c>
      <c r="AE211" s="4">
        <v>9.9127170000000007</v>
      </c>
      <c r="AF211" s="4">
        <v>-10.798133</v>
      </c>
      <c r="AG211" s="2" t="s">
        <v>51</v>
      </c>
      <c r="AI211" s="2" t="s">
        <v>52</v>
      </c>
      <c r="AJ211" s="2" t="str">
        <f>IF(Table1[[#This Row],[Host]]="Mastomys natalensis", "Mn", IF(Table1[[#This Row],[Host]]="Homo Sapiens","Human","PROBLEMMEMEMMEMEMEMM"))</f>
        <v>Mn</v>
      </c>
      <c r="AK211" s="2" t="s">
        <v>53</v>
      </c>
      <c r="AL211" s="5">
        <v>41738</v>
      </c>
      <c r="AM211" s="6" t="s">
        <v>1086</v>
      </c>
      <c r="AO211" s="2" t="s">
        <v>607</v>
      </c>
    </row>
    <row r="212" spans="1:41" x14ac:dyDescent="0.3">
      <c r="A212" s="2">
        <v>79</v>
      </c>
      <c r="B212" s="2" t="str">
        <f>_xlfn.CONCAT(Table1[[#This Row],[Acession_no_.1]],"|",Table1[[#This Row],[Strain name]],"|",Table1[[#This Row],[host_simple]],"|",Table1[[#This Row],[Country]],"|",Table1[[#This Row],[date_text]])</f>
        <v>MT119538|Son-116|Mn|Guinea|2015-11-19</v>
      </c>
      <c r="C212" s="2" t="s">
        <v>1345</v>
      </c>
      <c r="D212" s="2" t="str">
        <f>IF(ISNUMBER(MATCH(B212,finalSelection!$A$1:$A$497,0)),"yes","no")</f>
        <v>yes</v>
      </c>
      <c r="E212" s="2" t="s">
        <v>977</v>
      </c>
      <c r="F212" s="2" t="s">
        <v>608</v>
      </c>
      <c r="H212" s="2" t="s">
        <v>609</v>
      </c>
      <c r="I212" s="2" t="s">
        <v>36</v>
      </c>
      <c r="J212" s="2" t="s">
        <v>37</v>
      </c>
      <c r="K212" s="2" t="s">
        <v>38</v>
      </c>
      <c r="L212" s="2" t="s">
        <v>37</v>
      </c>
      <c r="M212" s="2" t="str">
        <f>VLOOKUP(C212,seqConcatenated!$A$1:$B$124,2, FALSE)</f>
        <v>MT119538 and MT119623 are merged</v>
      </c>
      <c r="N212" s="2" t="str">
        <f>IF(ISNA(Table1[[#This Row],[Column2]]),Table1[[#This Row],[comments2]], IF(O212="NA",M212,_xlfn.CONCAT(O212,"--",M212)))</f>
        <v>MT119538 and MT119623 are merged</v>
      </c>
      <c r="O212" s="2" t="s">
        <v>39</v>
      </c>
      <c r="P212" s="2" t="s">
        <v>40</v>
      </c>
      <c r="Q212" s="2" t="s">
        <v>41</v>
      </c>
      <c r="S212" s="2" t="s">
        <v>42</v>
      </c>
      <c r="T212" s="2" t="s">
        <v>43</v>
      </c>
      <c r="U212" s="2" t="s">
        <v>44</v>
      </c>
      <c r="V212" s="2" t="s">
        <v>45</v>
      </c>
      <c r="W212" s="2">
        <v>878</v>
      </c>
      <c r="X212" s="2" t="s">
        <v>46</v>
      </c>
      <c r="Y212" s="2" t="s">
        <v>47</v>
      </c>
      <c r="AA212" s="2" t="s">
        <v>48</v>
      </c>
      <c r="AB212" s="2">
        <v>1</v>
      </c>
      <c r="AC212" s="2" t="s">
        <v>604</v>
      </c>
      <c r="AD212" s="2" t="s">
        <v>50</v>
      </c>
      <c r="AE212" s="4">
        <v>9.9127170000000007</v>
      </c>
      <c r="AF212" s="4">
        <v>-10.798133</v>
      </c>
      <c r="AG212" s="2" t="s">
        <v>51</v>
      </c>
      <c r="AI212" s="2" t="s">
        <v>52</v>
      </c>
      <c r="AJ212" s="2" t="str">
        <f>IF(Table1[[#This Row],[Host]]="Mastomys natalensis", "Mn", IF(Table1[[#This Row],[Host]]="Homo Sapiens","Human","PROBLEMMEMEMMEMEMEMM"))</f>
        <v>Mn</v>
      </c>
      <c r="AK212" s="2" t="s">
        <v>53</v>
      </c>
      <c r="AL212" s="5">
        <v>42327</v>
      </c>
      <c r="AM212" s="6" t="s">
        <v>1087</v>
      </c>
      <c r="AO212" s="2" t="s">
        <v>610</v>
      </c>
    </row>
    <row r="213" spans="1:41" x14ac:dyDescent="0.3">
      <c r="A213" s="2">
        <v>164</v>
      </c>
      <c r="B213" s="2" t="str">
        <f>_xlfn.CONCAT(Table1[[#This Row],[Acession_no_.1]],"|",Table1[[#This Row],[Strain name]],"|",Table1[[#This Row],[host_simple]],"|",Table1[[#This Row],[Country]],"|",Table1[[#This Row],[date_text]])</f>
        <v>MT119623|Son-116|Mn|Guinea|2015-11-19</v>
      </c>
      <c r="C213" s="2" t="s">
        <v>1345</v>
      </c>
      <c r="D213" s="2" t="str">
        <f>IF(ISNUMBER(MATCH(B213,finalSelection!$A$1:$A$497,0)),"yes","no")</f>
        <v>no</v>
      </c>
      <c r="E213" s="2" t="s">
        <v>978</v>
      </c>
      <c r="F213" s="2" t="s">
        <v>611</v>
      </c>
      <c r="H213" s="2" t="s">
        <v>609</v>
      </c>
      <c r="I213" s="2" t="s">
        <v>56</v>
      </c>
      <c r="J213" s="2" t="s">
        <v>37</v>
      </c>
      <c r="K213" s="2" t="s">
        <v>38</v>
      </c>
      <c r="L213" s="2" t="s">
        <v>37</v>
      </c>
      <c r="M213" s="2" t="str">
        <f>VLOOKUP(C213,seqConcatenated!$A$1:$B$124,2, FALSE)</f>
        <v>MT119538 and MT119623 are merged</v>
      </c>
      <c r="N213" s="2" t="str">
        <f>IF(ISNA(Table1[[#This Row],[Column2]]),Table1[[#This Row],[comments2]], IF(O213="NA",M213,_xlfn.CONCAT(O213,"--",M213)))</f>
        <v>MT119538 and MT119623 are merged</v>
      </c>
      <c r="O213" s="2" t="s">
        <v>39</v>
      </c>
      <c r="P213" s="2" t="s">
        <v>40</v>
      </c>
      <c r="Q213" s="2" t="s">
        <v>41</v>
      </c>
      <c r="S213" s="2" t="s">
        <v>42</v>
      </c>
      <c r="T213" s="2" t="s">
        <v>43</v>
      </c>
      <c r="U213" s="2" t="s">
        <v>44</v>
      </c>
      <c r="V213" s="2" t="s">
        <v>45</v>
      </c>
      <c r="W213" s="2">
        <v>735</v>
      </c>
      <c r="X213" s="2" t="s">
        <v>46</v>
      </c>
      <c r="Y213" s="2" t="s">
        <v>47</v>
      </c>
      <c r="AA213" s="2" t="s">
        <v>48</v>
      </c>
      <c r="AB213" s="2">
        <v>1</v>
      </c>
      <c r="AC213" s="2" t="s">
        <v>604</v>
      </c>
      <c r="AD213" s="2" t="s">
        <v>50</v>
      </c>
      <c r="AE213" s="4">
        <v>9.9127170000000007</v>
      </c>
      <c r="AF213" s="4">
        <v>-10.798133</v>
      </c>
      <c r="AG213" s="2" t="s">
        <v>51</v>
      </c>
      <c r="AI213" s="2" t="s">
        <v>52</v>
      </c>
      <c r="AJ213" s="2" t="str">
        <f>IF(Table1[[#This Row],[Host]]="Mastomys natalensis", "Mn", IF(Table1[[#This Row],[Host]]="Homo Sapiens","Human","PROBLEMMEMEMMEMEMEMM"))</f>
        <v>Mn</v>
      </c>
      <c r="AK213" s="2" t="s">
        <v>53</v>
      </c>
      <c r="AL213" s="5">
        <v>42327</v>
      </c>
      <c r="AM213" s="6" t="s">
        <v>1087</v>
      </c>
      <c r="AO213" s="2" t="s">
        <v>612</v>
      </c>
    </row>
    <row r="214" spans="1:41" x14ac:dyDescent="0.3">
      <c r="A214" s="2">
        <v>80</v>
      </c>
      <c r="B214" s="2" t="str">
        <f>_xlfn.CONCAT(Table1[[#This Row],[Acession_no_.1]],"|",Table1[[#This Row],[Strain name]],"|",Table1[[#This Row],[host_simple]],"|",Table1[[#This Row],[Country]],"|",Table1[[#This Row],[date_text]])</f>
        <v>MT119539|Son-124|Mn|Guinea|2015-11-19</v>
      </c>
      <c r="C214" s="2" t="s">
        <v>1346</v>
      </c>
      <c r="D214" s="2" t="str">
        <f>IF(ISNUMBER(MATCH(B214,finalSelection!$A$1:$A$497,0)),"yes","no")</f>
        <v>yes</v>
      </c>
      <c r="E214" s="2" t="s">
        <v>979</v>
      </c>
      <c r="F214" s="2" t="s">
        <v>613</v>
      </c>
      <c r="H214" s="2" t="s">
        <v>614</v>
      </c>
      <c r="I214" s="2" t="s">
        <v>36</v>
      </c>
      <c r="J214" s="2" t="s">
        <v>37</v>
      </c>
      <c r="K214" s="2" t="s">
        <v>38</v>
      </c>
      <c r="L214" s="2" t="s">
        <v>37</v>
      </c>
      <c r="M214" s="2" t="str">
        <f>VLOOKUP(C214,seqConcatenated!$A$1:$B$124,2, FALSE)</f>
        <v>MT119539 and MT119624 are merged</v>
      </c>
      <c r="N214" s="2" t="str">
        <f>IF(ISNA(Table1[[#This Row],[Column2]]),Table1[[#This Row],[comments2]], IF(O214="NA",M214,_xlfn.CONCAT(O214,"--",M214)))</f>
        <v>MT119539 and MT119624 are merged</v>
      </c>
      <c r="O214" s="2" t="s">
        <v>39</v>
      </c>
      <c r="P214" s="2" t="s">
        <v>40</v>
      </c>
      <c r="Q214" s="2" t="s">
        <v>41</v>
      </c>
      <c r="S214" s="2" t="s">
        <v>42</v>
      </c>
      <c r="T214" s="2" t="s">
        <v>43</v>
      </c>
      <c r="U214" s="2" t="s">
        <v>44</v>
      </c>
      <c r="V214" s="2" t="s">
        <v>45</v>
      </c>
      <c r="W214" s="2">
        <v>878</v>
      </c>
      <c r="X214" s="2" t="s">
        <v>46</v>
      </c>
      <c r="Y214" s="2" t="s">
        <v>47</v>
      </c>
      <c r="AA214" s="2" t="s">
        <v>48</v>
      </c>
      <c r="AB214" s="2">
        <v>1</v>
      </c>
      <c r="AC214" s="2" t="s">
        <v>604</v>
      </c>
      <c r="AD214" s="2" t="s">
        <v>50</v>
      </c>
      <c r="AE214" s="4">
        <v>9.9127170000000007</v>
      </c>
      <c r="AF214" s="4">
        <v>-10.798133</v>
      </c>
      <c r="AG214" s="2" t="s">
        <v>51</v>
      </c>
      <c r="AI214" s="2" t="s">
        <v>52</v>
      </c>
      <c r="AJ214" s="2" t="str">
        <f>IF(Table1[[#This Row],[Host]]="Mastomys natalensis", "Mn", IF(Table1[[#This Row],[Host]]="Homo Sapiens","Human","PROBLEMMEMEMMEMEMEMM"))</f>
        <v>Mn</v>
      </c>
      <c r="AK214" s="2" t="s">
        <v>53</v>
      </c>
      <c r="AL214" s="5">
        <v>42327</v>
      </c>
      <c r="AM214" s="6" t="s">
        <v>1087</v>
      </c>
      <c r="AO214" s="2" t="s">
        <v>615</v>
      </c>
    </row>
    <row r="215" spans="1:41" x14ac:dyDescent="0.3">
      <c r="A215" s="2">
        <v>165</v>
      </c>
      <c r="B215" s="2" t="str">
        <f>_xlfn.CONCAT(Table1[[#This Row],[Acession_no_.1]],"|",Table1[[#This Row],[Strain name]],"|",Table1[[#This Row],[host_simple]],"|",Table1[[#This Row],[Country]],"|",Table1[[#This Row],[date_text]])</f>
        <v>MT119624|Son-124|Mn|Guinea|2015-11-19</v>
      </c>
      <c r="C215" s="2" t="s">
        <v>1346</v>
      </c>
      <c r="D215" s="2" t="str">
        <f>IF(ISNUMBER(MATCH(B215,finalSelection!$A$1:$A$497,0)),"yes","no")</f>
        <v>no</v>
      </c>
      <c r="E215" s="2" t="s">
        <v>980</v>
      </c>
      <c r="F215" s="2" t="s">
        <v>616</v>
      </c>
      <c r="H215" s="2" t="s">
        <v>614</v>
      </c>
      <c r="I215" s="2" t="s">
        <v>56</v>
      </c>
      <c r="J215" s="2" t="s">
        <v>37</v>
      </c>
      <c r="K215" s="2" t="s">
        <v>38</v>
      </c>
      <c r="L215" s="2" t="s">
        <v>37</v>
      </c>
      <c r="M215" s="2" t="str">
        <f>VLOOKUP(C215,seqConcatenated!$A$1:$B$124,2, FALSE)</f>
        <v>MT119539 and MT119624 are merged</v>
      </c>
      <c r="N215" s="2" t="str">
        <f>IF(ISNA(Table1[[#This Row],[Column2]]),Table1[[#This Row],[comments2]], IF(O215="NA",M215,_xlfn.CONCAT(O215,"--",M215)))</f>
        <v>MT119539 and MT119624 are merged</v>
      </c>
      <c r="O215" s="2" t="s">
        <v>39</v>
      </c>
      <c r="P215" s="2" t="s">
        <v>40</v>
      </c>
      <c r="Q215" s="2" t="s">
        <v>41</v>
      </c>
      <c r="S215" s="2" t="s">
        <v>42</v>
      </c>
      <c r="T215" s="2" t="s">
        <v>43</v>
      </c>
      <c r="U215" s="2" t="s">
        <v>44</v>
      </c>
      <c r="V215" s="2" t="s">
        <v>45</v>
      </c>
      <c r="W215" s="2">
        <v>735</v>
      </c>
      <c r="X215" s="2" t="s">
        <v>46</v>
      </c>
      <c r="Y215" s="2" t="s">
        <v>47</v>
      </c>
      <c r="AA215" s="2" t="s">
        <v>48</v>
      </c>
      <c r="AB215" s="2">
        <v>1</v>
      </c>
      <c r="AC215" s="2" t="s">
        <v>604</v>
      </c>
      <c r="AD215" s="2" t="s">
        <v>50</v>
      </c>
      <c r="AE215" s="4">
        <v>9.9127170000000007</v>
      </c>
      <c r="AF215" s="4">
        <v>-10.798133</v>
      </c>
      <c r="AG215" s="2" t="s">
        <v>51</v>
      </c>
      <c r="AI215" s="2" t="s">
        <v>52</v>
      </c>
      <c r="AJ215" s="2" t="str">
        <f>IF(Table1[[#This Row],[Host]]="Mastomys natalensis", "Mn", IF(Table1[[#This Row],[Host]]="Homo Sapiens","Human","PROBLEMMEMEMMEMEMEMM"))</f>
        <v>Mn</v>
      </c>
      <c r="AK215" s="2" t="s">
        <v>53</v>
      </c>
      <c r="AL215" s="5">
        <v>42327</v>
      </c>
      <c r="AM215" s="6" t="s">
        <v>1087</v>
      </c>
      <c r="AO215" s="2" t="s">
        <v>617</v>
      </c>
    </row>
    <row r="216" spans="1:41" x14ac:dyDescent="0.3">
      <c r="A216" s="2">
        <v>81</v>
      </c>
      <c r="B216" s="2" t="str">
        <f>_xlfn.CONCAT(Table1[[#This Row],[Acession_no_.1]],"|",Table1[[#This Row],[Strain name]],"|",Table1[[#This Row],[host_simple]],"|",Table1[[#This Row],[Country]],"|",Table1[[#This Row],[date_text]])</f>
        <v>MT119540|Son-133|Mn|Guinea|2015-11-20</v>
      </c>
      <c r="C216" s="2" t="s">
        <v>1347</v>
      </c>
      <c r="D216" s="2" t="str">
        <f>IF(ISNUMBER(MATCH(B216,finalSelection!$A$1:$A$497,0)),"yes","no")</f>
        <v>yes</v>
      </c>
      <c r="E216" s="2" t="s">
        <v>981</v>
      </c>
      <c r="F216" s="2" t="s">
        <v>618</v>
      </c>
      <c r="H216" s="2" t="s">
        <v>619</v>
      </c>
      <c r="I216" s="2" t="s">
        <v>36</v>
      </c>
      <c r="J216" s="2" t="s">
        <v>37</v>
      </c>
      <c r="K216" s="2" t="s">
        <v>38</v>
      </c>
      <c r="L216" s="2" t="s">
        <v>37</v>
      </c>
      <c r="M216" s="2" t="str">
        <f>VLOOKUP(C216,seqConcatenated!$A$1:$B$124,2, FALSE)</f>
        <v>MT119540 and MT119625 are merged</v>
      </c>
      <c r="N216" s="2" t="str">
        <f>IF(ISNA(Table1[[#This Row],[Column2]]),Table1[[#This Row],[comments2]], IF(O216="NA",M216,_xlfn.CONCAT(O216,"--",M216)))</f>
        <v>MT119540 and MT119625 are merged</v>
      </c>
      <c r="O216" s="2" t="s">
        <v>39</v>
      </c>
      <c r="P216" s="2" t="s">
        <v>40</v>
      </c>
      <c r="Q216" s="2" t="s">
        <v>41</v>
      </c>
      <c r="S216" s="2" t="s">
        <v>42</v>
      </c>
      <c r="T216" s="2" t="s">
        <v>43</v>
      </c>
      <c r="U216" s="2" t="s">
        <v>44</v>
      </c>
      <c r="V216" s="2" t="s">
        <v>45</v>
      </c>
      <c r="W216" s="2">
        <v>875</v>
      </c>
      <c r="X216" s="2" t="s">
        <v>46</v>
      </c>
      <c r="Y216" s="2" t="s">
        <v>47</v>
      </c>
      <c r="AA216" s="2" t="s">
        <v>48</v>
      </c>
      <c r="AB216" s="2">
        <v>1</v>
      </c>
      <c r="AC216" s="2" t="s">
        <v>604</v>
      </c>
      <c r="AD216" s="2" t="s">
        <v>50</v>
      </c>
      <c r="AE216" s="4">
        <v>9.9127170000000007</v>
      </c>
      <c r="AF216" s="4">
        <v>-10.798133</v>
      </c>
      <c r="AG216" s="2" t="s">
        <v>51</v>
      </c>
      <c r="AI216" s="2" t="s">
        <v>52</v>
      </c>
      <c r="AJ216" s="2" t="str">
        <f>IF(Table1[[#This Row],[Host]]="Mastomys natalensis", "Mn", IF(Table1[[#This Row],[Host]]="Homo Sapiens","Human","PROBLEMMEMEMMEMEMEMM"))</f>
        <v>Mn</v>
      </c>
      <c r="AK216" s="2" t="s">
        <v>53</v>
      </c>
      <c r="AL216" s="5">
        <v>42328</v>
      </c>
      <c r="AM216" s="6" t="s">
        <v>1088</v>
      </c>
      <c r="AO216" s="2" t="s">
        <v>620</v>
      </c>
    </row>
    <row r="217" spans="1:41" x14ac:dyDescent="0.3">
      <c r="A217" s="2">
        <v>166</v>
      </c>
      <c r="B217" s="2" t="str">
        <f>_xlfn.CONCAT(Table1[[#This Row],[Acession_no_.1]],"|",Table1[[#This Row],[Strain name]],"|",Table1[[#This Row],[host_simple]],"|",Table1[[#This Row],[Country]],"|",Table1[[#This Row],[date_text]])</f>
        <v>MT119625|Son-133|Mn|Guinea|2015-11-20</v>
      </c>
      <c r="C217" s="2" t="s">
        <v>1347</v>
      </c>
      <c r="D217" s="2" t="str">
        <f>IF(ISNUMBER(MATCH(B217,finalSelection!$A$1:$A$497,0)),"yes","no")</f>
        <v>no</v>
      </c>
      <c r="E217" s="2" t="s">
        <v>982</v>
      </c>
      <c r="F217" s="2" t="s">
        <v>621</v>
      </c>
      <c r="H217" s="2" t="s">
        <v>619</v>
      </c>
      <c r="I217" s="2" t="s">
        <v>56</v>
      </c>
      <c r="J217" s="2" t="s">
        <v>37</v>
      </c>
      <c r="K217" s="2" t="s">
        <v>38</v>
      </c>
      <c r="L217" s="2" t="s">
        <v>37</v>
      </c>
      <c r="M217" s="2" t="str">
        <f>VLOOKUP(C217,seqConcatenated!$A$1:$B$124,2, FALSE)</f>
        <v>MT119540 and MT119625 are merged</v>
      </c>
      <c r="N217" s="2" t="str">
        <f>IF(ISNA(Table1[[#This Row],[Column2]]),Table1[[#This Row],[comments2]], IF(O217="NA",M217,_xlfn.CONCAT(O217,"--",M217)))</f>
        <v>MT119540 and MT119625 are merged</v>
      </c>
      <c r="O217" s="2" t="s">
        <v>39</v>
      </c>
      <c r="P217" s="2" t="s">
        <v>40</v>
      </c>
      <c r="Q217" s="2" t="s">
        <v>41</v>
      </c>
      <c r="S217" s="2" t="s">
        <v>42</v>
      </c>
      <c r="T217" s="2" t="s">
        <v>43</v>
      </c>
      <c r="U217" s="2" t="s">
        <v>44</v>
      </c>
      <c r="V217" s="2" t="s">
        <v>45</v>
      </c>
      <c r="W217" s="2">
        <v>735</v>
      </c>
      <c r="X217" s="2" t="s">
        <v>46</v>
      </c>
      <c r="Y217" s="2" t="s">
        <v>47</v>
      </c>
      <c r="AA217" s="2" t="s">
        <v>48</v>
      </c>
      <c r="AB217" s="2">
        <v>1</v>
      </c>
      <c r="AC217" s="2" t="s">
        <v>604</v>
      </c>
      <c r="AD217" s="2" t="s">
        <v>50</v>
      </c>
      <c r="AE217" s="4">
        <v>9.9127170000000007</v>
      </c>
      <c r="AF217" s="4">
        <v>-10.798133</v>
      </c>
      <c r="AG217" s="2" t="s">
        <v>51</v>
      </c>
      <c r="AI217" s="2" t="s">
        <v>52</v>
      </c>
      <c r="AJ217" s="2" t="str">
        <f>IF(Table1[[#This Row],[Host]]="Mastomys natalensis", "Mn", IF(Table1[[#This Row],[Host]]="Homo Sapiens","Human","PROBLEMMEMEMMEMEMEMM"))</f>
        <v>Mn</v>
      </c>
      <c r="AK217" s="2" t="s">
        <v>53</v>
      </c>
      <c r="AL217" s="5">
        <v>42328</v>
      </c>
      <c r="AM217" s="6" t="s">
        <v>1088</v>
      </c>
      <c r="AO217" s="2" t="s">
        <v>622</v>
      </c>
    </row>
    <row r="218" spans="1:41" x14ac:dyDescent="0.3">
      <c r="A218" s="2">
        <v>82</v>
      </c>
      <c r="B218" s="2" t="str">
        <f>_xlfn.CONCAT(Table1[[#This Row],[Acession_no_.1]],"|",Table1[[#This Row],[Strain name]],"|",Table1[[#This Row],[host_simple]],"|",Table1[[#This Row],[Country]],"|",Table1[[#This Row],[date_text]])</f>
        <v>MT119541|Son-140|Mn|Guinea|2015-11-20</v>
      </c>
      <c r="C218" s="2" t="s">
        <v>1348</v>
      </c>
      <c r="D218" s="2" t="str">
        <f>IF(ISNUMBER(MATCH(B218,finalSelection!$A$1:$A$497,0)),"yes","no")</f>
        <v>yes</v>
      </c>
      <c r="E218" s="2" t="s">
        <v>983</v>
      </c>
      <c r="F218" s="2" t="s">
        <v>623</v>
      </c>
      <c r="H218" s="2" t="s">
        <v>624</v>
      </c>
      <c r="I218" s="2" t="s">
        <v>36</v>
      </c>
      <c r="J218" s="2" t="s">
        <v>37</v>
      </c>
      <c r="K218" s="2" t="s">
        <v>38</v>
      </c>
      <c r="L218" s="2" t="s">
        <v>37</v>
      </c>
      <c r="M218" s="2" t="str">
        <f>VLOOKUP(C218,seqConcatenated!$A$1:$B$124,2, FALSE)</f>
        <v>MT119541 and MT119626 are merged</v>
      </c>
      <c r="N218" s="2" t="str">
        <f>IF(ISNA(Table1[[#This Row],[Column2]]),Table1[[#This Row],[comments2]], IF(O218="NA",M218,_xlfn.CONCAT(O218,"--",M218)))</f>
        <v>MT119541 and MT119626 are merged</v>
      </c>
      <c r="O218" s="2" t="s">
        <v>39</v>
      </c>
      <c r="P218" s="2" t="s">
        <v>40</v>
      </c>
      <c r="Q218" s="2" t="s">
        <v>41</v>
      </c>
      <c r="S218" s="2" t="s">
        <v>42</v>
      </c>
      <c r="T218" s="2" t="s">
        <v>43</v>
      </c>
      <c r="U218" s="2" t="s">
        <v>44</v>
      </c>
      <c r="V218" s="2" t="s">
        <v>45</v>
      </c>
      <c r="W218" s="2">
        <v>879</v>
      </c>
      <c r="X218" s="2" t="s">
        <v>46</v>
      </c>
      <c r="Y218" s="2" t="s">
        <v>47</v>
      </c>
      <c r="AA218" s="2" t="s">
        <v>48</v>
      </c>
      <c r="AB218" s="2">
        <v>1</v>
      </c>
      <c r="AC218" s="2" t="s">
        <v>604</v>
      </c>
      <c r="AD218" s="2" t="s">
        <v>50</v>
      </c>
      <c r="AE218" s="4">
        <v>9.9127170000000007</v>
      </c>
      <c r="AF218" s="4">
        <v>-10.798133</v>
      </c>
      <c r="AG218" s="2" t="s">
        <v>51</v>
      </c>
      <c r="AI218" s="2" t="s">
        <v>52</v>
      </c>
      <c r="AJ218" s="2" t="str">
        <f>IF(Table1[[#This Row],[Host]]="Mastomys natalensis", "Mn", IF(Table1[[#This Row],[Host]]="Homo Sapiens","Human","PROBLEMMEMEMMEMEMEMM"))</f>
        <v>Mn</v>
      </c>
      <c r="AK218" s="2" t="s">
        <v>53</v>
      </c>
      <c r="AL218" s="5">
        <v>42328</v>
      </c>
      <c r="AM218" s="6" t="s">
        <v>1088</v>
      </c>
      <c r="AO218" s="2" t="s">
        <v>625</v>
      </c>
    </row>
    <row r="219" spans="1:41" x14ac:dyDescent="0.3">
      <c r="A219" s="2">
        <v>167</v>
      </c>
      <c r="B219" s="2" t="str">
        <f>_xlfn.CONCAT(Table1[[#This Row],[Acession_no_.1]],"|",Table1[[#This Row],[Strain name]],"|",Table1[[#This Row],[host_simple]],"|",Table1[[#This Row],[Country]],"|",Table1[[#This Row],[date_text]])</f>
        <v>MT119626|Son-140|Mn|Guinea|2015-11-20</v>
      </c>
      <c r="C219" s="2" t="s">
        <v>1348</v>
      </c>
      <c r="D219" s="2" t="str">
        <f>IF(ISNUMBER(MATCH(B219,finalSelection!$A$1:$A$497,0)),"yes","no")</f>
        <v>no</v>
      </c>
      <c r="E219" s="2" t="s">
        <v>984</v>
      </c>
      <c r="F219" s="2" t="s">
        <v>626</v>
      </c>
      <c r="H219" s="2" t="s">
        <v>624</v>
      </c>
      <c r="I219" s="2" t="s">
        <v>56</v>
      </c>
      <c r="J219" s="2" t="s">
        <v>37</v>
      </c>
      <c r="K219" s="2" t="s">
        <v>38</v>
      </c>
      <c r="L219" s="2" t="s">
        <v>37</v>
      </c>
      <c r="M219" s="2" t="str">
        <f>VLOOKUP(C219,seqConcatenated!$A$1:$B$124,2, FALSE)</f>
        <v>MT119541 and MT119626 are merged</v>
      </c>
      <c r="N219" s="2" t="str">
        <f>IF(ISNA(Table1[[#This Row],[Column2]]),Table1[[#This Row],[comments2]], IF(O219="NA",M219,_xlfn.CONCAT(O219,"--",M219)))</f>
        <v>MT119541 and MT119626 are merged</v>
      </c>
      <c r="O219" s="2" t="s">
        <v>39</v>
      </c>
      <c r="P219" s="2" t="s">
        <v>40</v>
      </c>
      <c r="Q219" s="2" t="s">
        <v>41</v>
      </c>
      <c r="S219" s="2" t="s">
        <v>42</v>
      </c>
      <c r="T219" s="2" t="s">
        <v>43</v>
      </c>
      <c r="U219" s="2" t="s">
        <v>44</v>
      </c>
      <c r="V219" s="2" t="s">
        <v>45</v>
      </c>
      <c r="W219" s="2">
        <v>735</v>
      </c>
      <c r="X219" s="2" t="s">
        <v>46</v>
      </c>
      <c r="Y219" s="2" t="s">
        <v>47</v>
      </c>
      <c r="AA219" s="2" t="s">
        <v>48</v>
      </c>
      <c r="AB219" s="2">
        <v>1</v>
      </c>
      <c r="AC219" s="2" t="s">
        <v>604</v>
      </c>
      <c r="AD219" s="2" t="s">
        <v>50</v>
      </c>
      <c r="AE219" s="4">
        <v>9.9127170000000007</v>
      </c>
      <c r="AF219" s="4">
        <v>-10.798133</v>
      </c>
      <c r="AG219" s="2" t="s">
        <v>51</v>
      </c>
      <c r="AI219" s="2" t="s">
        <v>52</v>
      </c>
      <c r="AJ219" s="2" t="str">
        <f>IF(Table1[[#This Row],[Host]]="Mastomys natalensis", "Mn", IF(Table1[[#This Row],[Host]]="Homo Sapiens","Human","PROBLEMMEMEMMEMEMEMM"))</f>
        <v>Mn</v>
      </c>
      <c r="AK219" s="2" t="s">
        <v>53</v>
      </c>
      <c r="AL219" s="5">
        <v>42328</v>
      </c>
      <c r="AM219" s="6" t="s">
        <v>1088</v>
      </c>
      <c r="AO219" s="2" t="s">
        <v>627</v>
      </c>
    </row>
    <row r="220" spans="1:41" x14ac:dyDescent="0.3">
      <c r="A220" s="2">
        <v>83</v>
      </c>
      <c r="B220" s="2" t="str">
        <f>_xlfn.CONCAT(Table1[[#This Row],[Acession_no_.1]],"|",Table1[[#This Row],[Strain name]],"|",Table1[[#This Row],[host_simple]],"|",Table1[[#This Row],[Country]],"|",Table1[[#This Row],[date_text]])</f>
        <v>MT119542|Son-146|Mn|Guinea|2015-11-20</v>
      </c>
      <c r="C220" s="2" t="s">
        <v>1349</v>
      </c>
      <c r="D220" s="2" t="str">
        <f>IF(ISNUMBER(MATCH(B220,finalSelection!$A$1:$A$497,0)),"yes","no")</f>
        <v>yes</v>
      </c>
      <c r="E220" s="2" t="s">
        <v>985</v>
      </c>
      <c r="F220" s="2" t="s">
        <v>628</v>
      </c>
      <c r="H220" s="2" t="s">
        <v>629</v>
      </c>
      <c r="I220" s="2" t="s">
        <v>36</v>
      </c>
      <c r="J220" s="2" t="s">
        <v>37</v>
      </c>
      <c r="K220" s="2" t="s">
        <v>38</v>
      </c>
      <c r="L220" s="2" t="s">
        <v>37</v>
      </c>
      <c r="M220" s="2" t="str">
        <f>VLOOKUP(C220,seqConcatenated!$A$1:$B$124,2, FALSE)</f>
        <v>MT119542 and MT119627 are merged</v>
      </c>
      <c r="N220" s="2" t="str">
        <f>IF(ISNA(Table1[[#This Row],[Column2]]),Table1[[#This Row],[comments2]], IF(O220="NA",M220,_xlfn.CONCAT(O220,"--",M220)))</f>
        <v>MT119542 and MT119627 are merged</v>
      </c>
      <c r="O220" s="2" t="s">
        <v>39</v>
      </c>
      <c r="P220" s="2" t="s">
        <v>40</v>
      </c>
      <c r="Q220" s="2" t="s">
        <v>41</v>
      </c>
      <c r="S220" s="2" t="s">
        <v>42</v>
      </c>
      <c r="T220" s="2" t="s">
        <v>43</v>
      </c>
      <c r="U220" s="2" t="s">
        <v>44</v>
      </c>
      <c r="V220" s="2" t="s">
        <v>45</v>
      </c>
      <c r="W220" s="2">
        <v>878</v>
      </c>
      <c r="X220" s="2" t="s">
        <v>46</v>
      </c>
      <c r="Y220" s="2" t="s">
        <v>47</v>
      </c>
      <c r="AA220" s="2" t="s">
        <v>48</v>
      </c>
      <c r="AB220" s="2">
        <v>1</v>
      </c>
      <c r="AC220" s="2" t="s">
        <v>604</v>
      </c>
      <c r="AD220" s="2" t="s">
        <v>50</v>
      </c>
      <c r="AE220" s="4">
        <v>9.9127170000000007</v>
      </c>
      <c r="AF220" s="4">
        <v>-10.798133</v>
      </c>
      <c r="AG220" s="2" t="s">
        <v>51</v>
      </c>
      <c r="AI220" s="2" t="s">
        <v>52</v>
      </c>
      <c r="AJ220" s="2" t="str">
        <f>IF(Table1[[#This Row],[Host]]="Mastomys natalensis", "Mn", IF(Table1[[#This Row],[Host]]="Homo Sapiens","Human","PROBLEMMEMEMMEMEMEMM"))</f>
        <v>Mn</v>
      </c>
      <c r="AK220" s="2" t="s">
        <v>53</v>
      </c>
      <c r="AL220" s="5">
        <v>42328</v>
      </c>
      <c r="AM220" s="6" t="s">
        <v>1088</v>
      </c>
      <c r="AO220" s="2" t="s">
        <v>630</v>
      </c>
    </row>
    <row r="221" spans="1:41" x14ac:dyDescent="0.3">
      <c r="A221" s="2">
        <v>168</v>
      </c>
      <c r="B221" s="2" t="str">
        <f>_xlfn.CONCAT(Table1[[#This Row],[Acession_no_.1]],"|",Table1[[#This Row],[Strain name]],"|",Table1[[#This Row],[host_simple]],"|",Table1[[#This Row],[Country]],"|",Table1[[#This Row],[date_text]])</f>
        <v>MT119627|Son-146|Mn|Guinea|2015-11-20</v>
      </c>
      <c r="C221" s="2" t="s">
        <v>1349</v>
      </c>
      <c r="D221" s="2" t="str">
        <f>IF(ISNUMBER(MATCH(B221,finalSelection!$A$1:$A$497,0)),"yes","no")</f>
        <v>no</v>
      </c>
      <c r="E221" s="2" t="s">
        <v>986</v>
      </c>
      <c r="F221" s="2" t="s">
        <v>631</v>
      </c>
      <c r="H221" s="2" t="s">
        <v>629</v>
      </c>
      <c r="I221" s="2" t="s">
        <v>56</v>
      </c>
      <c r="J221" s="2" t="s">
        <v>37</v>
      </c>
      <c r="K221" s="2" t="s">
        <v>38</v>
      </c>
      <c r="L221" s="2" t="s">
        <v>37</v>
      </c>
      <c r="M221" s="2" t="str">
        <f>VLOOKUP(C221,seqConcatenated!$A$1:$B$124,2, FALSE)</f>
        <v>MT119542 and MT119627 are merged</v>
      </c>
      <c r="N221" s="2" t="str">
        <f>IF(ISNA(Table1[[#This Row],[Column2]]),Table1[[#This Row],[comments2]], IF(O221="NA",M221,_xlfn.CONCAT(O221,"--",M221)))</f>
        <v>MT119542 and MT119627 are merged</v>
      </c>
      <c r="O221" s="2" t="s">
        <v>39</v>
      </c>
      <c r="P221" s="2" t="s">
        <v>40</v>
      </c>
      <c r="Q221" s="2" t="s">
        <v>41</v>
      </c>
      <c r="S221" s="2" t="s">
        <v>42</v>
      </c>
      <c r="T221" s="2" t="s">
        <v>43</v>
      </c>
      <c r="U221" s="2" t="s">
        <v>44</v>
      </c>
      <c r="V221" s="2" t="s">
        <v>45</v>
      </c>
      <c r="W221" s="2">
        <v>735</v>
      </c>
      <c r="X221" s="2" t="s">
        <v>46</v>
      </c>
      <c r="Y221" s="2" t="s">
        <v>47</v>
      </c>
      <c r="AA221" s="2" t="s">
        <v>48</v>
      </c>
      <c r="AB221" s="2">
        <v>1</v>
      </c>
      <c r="AC221" s="2" t="s">
        <v>604</v>
      </c>
      <c r="AD221" s="2" t="s">
        <v>50</v>
      </c>
      <c r="AE221" s="4">
        <v>9.9127170000000007</v>
      </c>
      <c r="AF221" s="4">
        <v>-10.798133</v>
      </c>
      <c r="AG221" s="2" t="s">
        <v>51</v>
      </c>
      <c r="AI221" s="2" t="s">
        <v>52</v>
      </c>
      <c r="AJ221" s="2" t="str">
        <f>IF(Table1[[#This Row],[Host]]="Mastomys natalensis", "Mn", IF(Table1[[#This Row],[Host]]="Homo Sapiens","Human","PROBLEMMEMEMMEMEMEMM"))</f>
        <v>Mn</v>
      </c>
      <c r="AK221" s="2" t="s">
        <v>53</v>
      </c>
      <c r="AL221" s="5">
        <v>42328</v>
      </c>
      <c r="AM221" s="6" t="s">
        <v>1088</v>
      </c>
      <c r="AO221" s="2" t="s">
        <v>632</v>
      </c>
    </row>
    <row r="222" spans="1:41" x14ac:dyDescent="0.3">
      <c r="A222" s="2">
        <v>84</v>
      </c>
      <c r="B222" s="2" t="str">
        <f>_xlfn.CONCAT(Table1[[#This Row],[Acession_no_.1]],"|",Table1[[#This Row],[Strain name]],"|",Table1[[#This Row],[host_simple]],"|",Table1[[#This Row],[Country]],"|",Table1[[#This Row],[date_text]])</f>
        <v>MT119543|Son-193|Mn|Guinea|2016-11-25</v>
      </c>
      <c r="C222" s="2" t="s">
        <v>1350</v>
      </c>
      <c r="D222" s="2" t="str">
        <f>IF(ISNUMBER(MATCH(B222,finalSelection!$A$1:$A$497,0)),"yes","no")</f>
        <v>yes</v>
      </c>
      <c r="E222" s="2" t="s">
        <v>987</v>
      </c>
      <c r="F222" s="2" t="s">
        <v>633</v>
      </c>
      <c r="H222" s="2" t="s">
        <v>634</v>
      </c>
      <c r="I222" s="2" t="s">
        <v>36</v>
      </c>
      <c r="J222" s="2" t="s">
        <v>37</v>
      </c>
      <c r="K222" s="2" t="s">
        <v>38</v>
      </c>
      <c r="L222" s="2" t="s">
        <v>37</v>
      </c>
      <c r="M222" s="2" t="str">
        <f>VLOOKUP(C222,seqConcatenated!$A$1:$B$124,2, FALSE)</f>
        <v>MT119543 and MT119628 are merged</v>
      </c>
      <c r="N222" s="2" t="str">
        <f>IF(ISNA(Table1[[#This Row],[Column2]]),Table1[[#This Row],[comments2]], IF(O222="NA",M222,_xlfn.CONCAT(O222,"--",M222)))</f>
        <v>&lt;500nt - NP counterpart exists but both together are &lt;1000nt - however given that threshold is 500 for a segment then combined the two genes overcome this --MT119543 and MT119628 are merged</v>
      </c>
      <c r="O222" s="2" t="s">
        <v>548</v>
      </c>
      <c r="P222" s="2" t="s">
        <v>40</v>
      </c>
      <c r="Q222" s="2" t="s">
        <v>41</v>
      </c>
      <c r="S222" s="2" t="s">
        <v>42</v>
      </c>
      <c r="T222" s="2" t="s">
        <v>43</v>
      </c>
      <c r="U222" s="2" t="s">
        <v>44</v>
      </c>
      <c r="V222" s="2" t="s">
        <v>45</v>
      </c>
      <c r="W222" s="2">
        <v>257</v>
      </c>
      <c r="X222" s="2" t="s">
        <v>46</v>
      </c>
      <c r="Y222" s="2" t="s">
        <v>47</v>
      </c>
      <c r="AA222" s="2" t="s">
        <v>48</v>
      </c>
      <c r="AB222" s="2">
        <v>1</v>
      </c>
      <c r="AC222" s="2" t="s">
        <v>604</v>
      </c>
      <c r="AD222" s="2" t="s">
        <v>50</v>
      </c>
      <c r="AE222" s="4">
        <v>9.9127170000000007</v>
      </c>
      <c r="AF222" s="4">
        <v>-10.798133</v>
      </c>
      <c r="AG222" s="2" t="s">
        <v>51</v>
      </c>
      <c r="AI222" s="2" t="s">
        <v>52</v>
      </c>
      <c r="AJ222" s="2" t="str">
        <f>IF(Table1[[#This Row],[Host]]="Mastomys natalensis", "Mn", IF(Table1[[#This Row],[Host]]="Homo Sapiens","Human","PROBLEMMEMEMMEMEMEMM"))</f>
        <v>Mn</v>
      </c>
      <c r="AK222" s="2" t="s">
        <v>53</v>
      </c>
      <c r="AL222" s="5">
        <v>42699</v>
      </c>
      <c r="AM222" s="6" t="s">
        <v>1089</v>
      </c>
      <c r="AO222" s="2" t="s">
        <v>635</v>
      </c>
    </row>
    <row r="223" spans="1:41" x14ac:dyDescent="0.3">
      <c r="A223" s="2">
        <v>169</v>
      </c>
      <c r="B223" s="2" t="str">
        <f>_xlfn.CONCAT(Table1[[#This Row],[Acession_no_.1]],"|",Table1[[#This Row],[Strain name]],"|",Table1[[#This Row],[host_simple]],"|",Table1[[#This Row],[Country]],"|",Table1[[#This Row],[date_text]])</f>
        <v>MT119628|Son-193|Mn|Guinea|2016-11-25</v>
      </c>
      <c r="C223" s="2" t="s">
        <v>1350</v>
      </c>
      <c r="D223" s="2" t="str">
        <f>IF(ISNUMBER(MATCH(B223,finalSelection!$A$1:$A$497,0)),"yes","no")</f>
        <v>no</v>
      </c>
      <c r="E223" s="2" t="s">
        <v>988</v>
      </c>
      <c r="F223" s="2" t="s">
        <v>636</v>
      </c>
      <c r="H223" s="2" t="s">
        <v>634</v>
      </c>
      <c r="I223" s="2" t="s">
        <v>56</v>
      </c>
      <c r="J223" s="2" t="s">
        <v>37</v>
      </c>
      <c r="K223" s="2" t="s">
        <v>38</v>
      </c>
      <c r="L223" s="2" t="s">
        <v>37</v>
      </c>
      <c r="M223" s="2" t="str">
        <f>VLOOKUP(C223,seqConcatenated!$A$1:$B$124,2, FALSE)</f>
        <v>MT119543 and MT119628 are merged</v>
      </c>
      <c r="N223" s="2" t="str">
        <f>IF(ISNA(Table1[[#This Row],[Column2]]),Table1[[#This Row],[comments2]], IF(O223="NA",M223,_xlfn.CONCAT(O223,"--",M223)))</f>
        <v>MT119543 and MT119628 are merged</v>
      </c>
      <c r="O223" s="2" t="s">
        <v>39</v>
      </c>
      <c r="P223" s="2" t="s">
        <v>40</v>
      </c>
      <c r="Q223" s="2" t="s">
        <v>41</v>
      </c>
      <c r="S223" s="2" t="s">
        <v>42</v>
      </c>
      <c r="T223" s="2" t="s">
        <v>43</v>
      </c>
      <c r="U223" s="2" t="s">
        <v>44</v>
      </c>
      <c r="V223" s="2" t="s">
        <v>45</v>
      </c>
      <c r="W223" s="2">
        <v>735</v>
      </c>
      <c r="X223" s="2" t="s">
        <v>46</v>
      </c>
      <c r="Y223" s="2" t="s">
        <v>47</v>
      </c>
      <c r="AA223" s="2" t="s">
        <v>48</v>
      </c>
      <c r="AB223" s="2">
        <v>1</v>
      </c>
      <c r="AC223" s="2" t="s">
        <v>604</v>
      </c>
      <c r="AD223" s="2" t="s">
        <v>50</v>
      </c>
      <c r="AE223" s="4">
        <v>9.9127170000000007</v>
      </c>
      <c r="AF223" s="4">
        <v>-10.798133</v>
      </c>
      <c r="AG223" s="2" t="s">
        <v>51</v>
      </c>
      <c r="AI223" s="2" t="s">
        <v>52</v>
      </c>
      <c r="AJ223" s="2" t="str">
        <f>IF(Table1[[#This Row],[Host]]="Mastomys natalensis", "Mn", IF(Table1[[#This Row],[Host]]="Homo Sapiens","Human","PROBLEMMEMEMMEMEMEMM"))</f>
        <v>Mn</v>
      </c>
      <c r="AK223" s="2" t="s">
        <v>53</v>
      </c>
      <c r="AL223" s="5">
        <v>42699</v>
      </c>
      <c r="AM223" s="6" t="s">
        <v>1089</v>
      </c>
      <c r="AO223" s="2" t="s">
        <v>637</v>
      </c>
    </row>
    <row r="224" spans="1:41" x14ac:dyDescent="0.3">
      <c r="A224" s="2">
        <v>85</v>
      </c>
      <c r="B224" s="2" t="str">
        <f>_xlfn.CONCAT(Table1[[#This Row],[Acession_no_.1]],"|",Table1[[#This Row],[Strain name]],"|",Table1[[#This Row],[host_simple]],"|",Table1[[#This Row],[Country]],"|",Table1[[#This Row],[date_text]])</f>
        <v>MT119544|Son-197|Mn|Guinea|2016-11-25</v>
      </c>
      <c r="C224" s="2" t="s">
        <v>1351</v>
      </c>
      <c r="D224" s="2" t="str">
        <f>IF(ISNUMBER(MATCH(B224,finalSelection!$A$1:$A$497,0)),"yes","no")</f>
        <v>yes</v>
      </c>
      <c r="E224" s="2" t="s">
        <v>989</v>
      </c>
      <c r="F224" s="2" t="s">
        <v>638</v>
      </c>
      <c r="H224" s="2" t="s">
        <v>639</v>
      </c>
      <c r="I224" s="2" t="s">
        <v>36</v>
      </c>
      <c r="J224" s="2" t="s">
        <v>37</v>
      </c>
      <c r="K224" s="2" t="s">
        <v>38</v>
      </c>
      <c r="L224" s="2" t="s">
        <v>37</v>
      </c>
      <c r="M224" s="2" t="str">
        <f>VLOOKUP(C224,seqConcatenated!$A$1:$B$124,2, FALSE)</f>
        <v>MT119544 and MT119629 are merged</v>
      </c>
      <c r="N224" s="2" t="str">
        <f>IF(ISNA(Table1[[#This Row],[Column2]]),Table1[[#This Row],[comments2]], IF(O224="NA",M224,_xlfn.CONCAT(O224,"--",M224)))</f>
        <v>MT119544 and MT119629 are merged</v>
      </c>
      <c r="O224" s="2" t="s">
        <v>39</v>
      </c>
      <c r="P224" s="2" t="s">
        <v>40</v>
      </c>
      <c r="Q224" s="2" t="s">
        <v>41</v>
      </c>
      <c r="S224" s="2" t="s">
        <v>42</v>
      </c>
      <c r="T224" s="2" t="s">
        <v>43</v>
      </c>
      <c r="U224" s="2" t="s">
        <v>44</v>
      </c>
      <c r="V224" s="2" t="s">
        <v>45</v>
      </c>
      <c r="W224" s="2">
        <v>888</v>
      </c>
      <c r="X224" s="2" t="s">
        <v>46</v>
      </c>
      <c r="Y224" s="2" t="s">
        <v>47</v>
      </c>
      <c r="AA224" s="2" t="s">
        <v>48</v>
      </c>
      <c r="AB224" s="2">
        <v>1</v>
      </c>
      <c r="AC224" s="2" t="s">
        <v>604</v>
      </c>
      <c r="AD224" s="2" t="s">
        <v>50</v>
      </c>
      <c r="AE224" s="4">
        <v>9.9127170000000007</v>
      </c>
      <c r="AF224" s="4">
        <v>-10.798133</v>
      </c>
      <c r="AG224" s="2" t="s">
        <v>51</v>
      </c>
      <c r="AI224" s="2" t="s">
        <v>52</v>
      </c>
      <c r="AJ224" s="2" t="str">
        <f>IF(Table1[[#This Row],[Host]]="Mastomys natalensis", "Mn", IF(Table1[[#This Row],[Host]]="Homo Sapiens","Human","PROBLEMMEMEMMEMEMEMM"))</f>
        <v>Mn</v>
      </c>
      <c r="AK224" s="2" t="s">
        <v>53</v>
      </c>
      <c r="AL224" s="5">
        <v>42699</v>
      </c>
      <c r="AM224" s="6" t="s">
        <v>1089</v>
      </c>
      <c r="AO224" s="2" t="s">
        <v>640</v>
      </c>
    </row>
    <row r="225" spans="1:41" x14ac:dyDescent="0.3">
      <c r="A225" s="2">
        <v>170</v>
      </c>
      <c r="B225" s="2" t="str">
        <f>_xlfn.CONCAT(Table1[[#This Row],[Acession_no_.1]],"|",Table1[[#This Row],[Strain name]],"|",Table1[[#This Row],[host_simple]],"|",Table1[[#This Row],[Country]],"|",Table1[[#This Row],[date_text]])</f>
        <v>MT119629|Son-197|Mn|Guinea|2016-11-25</v>
      </c>
      <c r="C225" s="2" t="s">
        <v>1351</v>
      </c>
      <c r="D225" s="2" t="str">
        <f>IF(ISNUMBER(MATCH(B225,finalSelection!$A$1:$A$497,0)),"yes","no")</f>
        <v>no</v>
      </c>
      <c r="E225" s="2" t="s">
        <v>990</v>
      </c>
      <c r="F225" s="2" t="s">
        <v>641</v>
      </c>
      <c r="H225" s="2" t="s">
        <v>639</v>
      </c>
      <c r="I225" s="2" t="s">
        <v>56</v>
      </c>
      <c r="J225" s="2" t="s">
        <v>37</v>
      </c>
      <c r="K225" s="2" t="s">
        <v>38</v>
      </c>
      <c r="L225" s="2" t="s">
        <v>37</v>
      </c>
      <c r="M225" s="2" t="str">
        <f>VLOOKUP(C225,seqConcatenated!$A$1:$B$124,2, FALSE)</f>
        <v>MT119544 and MT119629 are merged</v>
      </c>
      <c r="N225" s="2" t="str">
        <f>IF(ISNA(Table1[[#This Row],[Column2]]),Table1[[#This Row],[comments2]], IF(O225="NA",M225,_xlfn.CONCAT(O225,"--",M225)))</f>
        <v>MT119544 and MT119629 are merged</v>
      </c>
      <c r="O225" s="2" t="s">
        <v>39</v>
      </c>
      <c r="P225" s="2" t="s">
        <v>40</v>
      </c>
      <c r="Q225" s="2" t="s">
        <v>41</v>
      </c>
      <c r="S225" s="2" t="s">
        <v>42</v>
      </c>
      <c r="T225" s="2" t="s">
        <v>43</v>
      </c>
      <c r="U225" s="2" t="s">
        <v>44</v>
      </c>
      <c r="V225" s="2" t="s">
        <v>45</v>
      </c>
      <c r="W225" s="2">
        <v>735</v>
      </c>
      <c r="X225" s="2" t="s">
        <v>46</v>
      </c>
      <c r="Y225" s="2" t="s">
        <v>47</v>
      </c>
      <c r="AA225" s="2" t="s">
        <v>48</v>
      </c>
      <c r="AB225" s="2">
        <v>1</v>
      </c>
      <c r="AC225" s="2" t="s">
        <v>604</v>
      </c>
      <c r="AD225" s="2" t="s">
        <v>50</v>
      </c>
      <c r="AE225" s="4">
        <v>9.9127170000000007</v>
      </c>
      <c r="AF225" s="4">
        <v>-10.798133</v>
      </c>
      <c r="AG225" s="2" t="s">
        <v>51</v>
      </c>
      <c r="AI225" s="2" t="s">
        <v>52</v>
      </c>
      <c r="AJ225" s="2" t="str">
        <f>IF(Table1[[#This Row],[Host]]="Mastomys natalensis", "Mn", IF(Table1[[#This Row],[Host]]="Homo Sapiens","Human","PROBLEMMEMEMMEMEMEMM"))</f>
        <v>Mn</v>
      </c>
      <c r="AK225" s="2" t="s">
        <v>53</v>
      </c>
      <c r="AL225" s="5">
        <v>42699</v>
      </c>
      <c r="AM225" s="6" t="s">
        <v>1089</v>
      </c>
      <c r="AO225" s="2" t="s">
        <v>642</v>
      </c>
    </row>
    <row r="226" spans="1:41" x14ac:dyDescent="0.3">
      <c r="A226" s="2">
        <v>86</v>
      </c>
      <c r="B226" s="2" t="str">
        <f>_xlfn.CONCAT(Table1[[#This Row],[Acession_no_.1]],"|",Table1[[#This Row],[Strain name]],"|",Table1[[#This Row],[host_simple]],"|",Table1[[#This Row],[Country]],"|",Table1[[#This Row],[date_text]])</f>
        <v>MT119545|Son-198|Mn|Guinea|2016-11-25</v>
      </c>
      <c r="C226" s="2" t="s">
        <v>1352</v>
      </c>
      <c r="D226" s="2" t="str">
        <f>IF(ISNUMBER(MATCH(B226,finalSelection!$A$1:$A$497,0)),"yes","no")</f>
        <v>yes</v>
      </c>
      <c r="E226" s="2" t="s">
        <v>991</v>
      </c>
      <c r="F226" s="2" t="s">
        <v>643</v>
      </c>
      <c r="H226" s="2" t="s">
        <v>644</v>
      </c>
      <c r="I226" s="2" t="s">
        <v>36</v>
      </c>
      <c r="J226" s="2" t="s">
        <v>37</v>
      </c>
      <c r="K226" s="2" t="s">
        <v>38</v>
      </c>
      <c r="L226" s="2" t="s">
        <v>37</v>
      </c>
      <c r="M226" s="2" t="str">
        <f>VLOOKUP(C226,seqConcatenated!$A$1:$B$124,2, FALSE)</f>
        <v>MT119545 and MT119630 are merged</v>
      </c>
      <c r="N226" s="2" t="str">
        <f>IF(ISNA(Table1[[#This Row],[Column2]]),Table1[[#This Row],[comments2]], IF(O226="NA",M226,_xlfn.CONCAT(O226,"--",M226)))</f>
        <v>MT119545 and MT119630 are merged</v>
      </c>
      <c r="O226" s="2" t="s">
        <v>39</v>
      </c>
      <c r="P226" s="2" t="s">
        <v>40</v>
      </c>
      <c r="Q226" s="2" t="s">
        <v>41</v>
      </c>
      <c r="S226" s="2" t="s">
        <v>42</v>
      </c>
      <c r="T226" s="2" t="s">
        <v>43</v>
      </c>
      <c r="U226" s="2" t="s">
        <v>44</v>
      </c>
      <c r="V226" s="2" t="s">
        <v>45</v>
      </c>
      <c r="W226" s="2">
        <v>879</v>
      </c>
      <c r="X226" s="2" t="s">
        <v>46</v>
      </c>
      <c r="Y226" s="2" t="s">
        <v>47</v>
      </c>
      <c r="AA226" s="2" t="s">
        <v>48</v>
      </c>
      <c r="AB226" s="2">
        <v>1</v>
      </c>
      <c r="AC226" s="2" t="s">
        <v>604</v>
      </c>
      <c r="AD226" s="2" t="s">
        <v>50</v>
      </c>
      <c r="AE226" s="4">
        <v>9.9127170000000007</v>
      </c>
      <c r="AF226" s="4">
        <v>-10.798133</v>
      </c>
      <c r="AG226" s="2" t="s">
        <v>51</v>
      </c>
      <c r="AI226" s="2" t="s">
        <v>52</v>
      </c>
      <c r="AJ226" s="2" t="str">
        <f>IF(Table1[[#This Row],[Host]]="Mastomys natalensis", "Mn", IF(Table1[[#This Row],[Host]]="Homo Sapiens","Human","PROBLEMMEMEMMEMEMEMM"))</f>
        <v>Mn</v>
      </c>
      <c r="AK226" s="2" t="s">
        <v>53</v>
      </c>
      <c r="AL226" s="5">
        <v>42699</v>
      </c>
      <c r="AM226" s="6" t="s">
        <v>1089</v>
      </c>
      <c r="AO226" s="2" t="s">
        <v>645</v>
      </c>
    </row>
    <row r="227" spans="1:41" x14ac:dyDescent="0.3">
      <c r="A227" s="2">
        <v>171</v>
      </c>
      <c r="B227" s="2" t="str">
        <f>_xlfn.CONCAT(Table1[[#This Row],[Acession_no_.1]],"|",Table1[[#This Row],[Strain name]],"|",Table1[[#This Row],[host_simple]],"|",Table1[[#This Row],[Country]],"|",Table1[[#This Row],[date_text]])</f>
        <v>MT119630|Son-198|Mn|Guinea|2016-11-25</v>
      </c>
      <c r="C227" s="2" t="s">
        <v>1352</v>
      </c>
      <c r="D227" s="2" t="str">
        <f>IF(ISNUMBER(MATCH(B227,finalSelection!$A$1:$A$497,0)),"yes","no")</f>
        <v>no</v>
      </c>
      <c r="E227" s="2" t="s">
        <v>992</v>
      </c>
      <c r="F227" s="2" t="s">
        <v>646</v>
      </c>
      <c r="H227" s="2" t="s">
        <v>644</v>
      </c>
      <c r="I227" s="2" t="s">
        <v>56</v>
      </c>
      <c r="J227" s="2" t="s">
        <v>37</v>
      </c>
      <c r="K227" s="2" t="s">
        <v>38</v>
      </c>
      <c r="L227" s="2" t="s">
        <v>37</v>
      </c>
      <c r="M227" s="2" t="str">
        <f>VLOOKUP(C227,seqConcatenated!$A$1:$B$124,2, FALSE)</f>
        <v>MT119545 and MT119630 are merged</v>
      </c>
      <c r="N227" s="2" t="str">
        <f>IF(ISNA(Table1[[#This Row],[Column2]]),Table1[[#This Row],[comments2]], IF(O227="NA",M227,_xlfn.CONCAT(O227,"--",M227)))</f>
        <v>MT119545 and MT119630 are merged</v>
      </c>
      <c r="O227" s="2" t="s">
        <v>39</v>
      </c>
      <c r="P227" s="2" t="s">
        <v>40</v>
      </c>
      <c r="Q227" s="2" t="s">
        <v>41</v>
      </c>
      <c r="S227" s="2" t="s">
        <v>42</v>
      </c>
      <c r="T227" s="2" t="s">
        <v>43</v>
      </c>
      <c r="U227" s="2" t="s">
        <v>44</v>
      </c>
      <c r="V227" s="2" t="s">
        <v>45</v>
      </c>
      <c r="W227" s="2">
        <v>735</v>
      </c>
      <c r="X227" s="2" t="s">
        <v>46</v>
      </c>
      <c r="Y227" s="2" t="s">
        <v>47</v>
      </c>
      <c r="AA227" s="2" t="s">
        <v>48</v>
      </c>
      <c r="AB227" s="2">
        <v>1</v>
      </c>
      <c r="AC227" s="2" t="s">
        <v>604</v>
      </c>
      <c r="AD227" s="2" t="s">
        <v>50</v>
      </c>
      <c r="AE227" s="4">
        <v>9.9127170000000007</v>
      </c>
      <c r="AF227" s="4">
        <v>-10.798133</v>
      </c>
      <c r="AG227" s="2" t="s">
        <v>51</v>
      </c>
      <c r="AI227" s="2" t="s">
        <v>52</v>
      </c>
      <c r="AJ227" s="2" t="str">
        <f>IF(Table1[[#This Row],[Host]]="Mastomys natalensis", "Mn", IF(Table1[[#This Row],[Host]]="Homo Sapiens","Human","PROBLEMMEMEMMEMEMEMM"))</f>
        <v>Mn</v>
      </c>
      <c r="AK227" s="2" t="s">
        <v>53</v>
      </c>
      <c r="AL227" s="5">
        <v>42699</v>
      </c>
      <c r="AM227" s="6" t="s">
        <v>1089</v>
      </c>
      <c r="AO227" s="2" t="s">
        <v>647</v>
      </c>
    </row>
    <row r="228" spans="1:41" x14ac:dyDescent="0.3">
      <c r="A228" s="2">
        <v>87</v>
      </c>
      <c r="B228" s="2" t="str">
        <f>_xlfn.CONCAT(Table1[[#This Row],[Acession_no_.1]],"|",Table1[[#This Row],[Strain name]],"|",Table1[[#This Row],[host_simple]],"|",Table1[[#This Row],[Country]],"|",Table1[[#This Row],[date_text]])</f>
        <v>MT119546|Son-211|Mn|Guinea|2016-11-26</v>
      </c>
      <c r="C228" s="2" t="s">
        <v>1353</v>
      </c>
      <c r="D228" s="2" t="str">
        <f>IF(ISNUMBER(MATCH(B228,finalSelection!$A$1:$A$497,0)),"yes","no")</f>
        <v>yes</v>
      </c>
      <c r="E228" s="2" t="s">
        <v>993</v>
      </c>
      <c r="F228" s="2" t="s">
        <v>648</v>
      </c>
      <c r="H228" s="2" t="s">
        <v>649</v>
      </c>
      <c r="I228" s="2" t="s">
        <v>36</v>
      </c>
      <c r="J228" s="2" t="s">
        <v>37</v>
      </c>
      <c r="K228" s="2" t="s">
        <v>38</v>
      </c>
      <c r="L228" s="2" t="s">
        <v>37</v>
      </c>
      <c r="M228" s="2" t="str">
        <f>VLOOKUP(C228,seqConcatenated!$A$1:$B$124,2, FALSE)</f>
        <v>MT119546 and MT119631 are merged</v>
      </c>
      <c r="N228" s="2" t="str">
        <f>IF(ISNA(Table1[[#This Row],[Column2]]),Table1[[#This Row],[comments2]], IF(O228="NA",M228,_xlfn.CONCAT(O228,"--",M228)))</f>
        <v>MT119546 and MT119631 are merged</v>
      </c>
      <c r="O228" s="2" t="s">
        <v>39</v>
      </c>
      <c r="P228" s="2" t="s">
        <v>40</v>
      </c>
      <c r="Q228" s="2" t="s">
        <v>41</v>
      </c>
      <c r="S228" s="2" t="s">
        <v>42</v>
      </c>
      <c r="T228" s="2" t="s">
        <v>43</v>
      </c>
      <c r="U228" s="2" t="s">
        <v>44</v>
      </c>
      <c r="V228" s="2" t="s">
        <v>45</v>
      </c>
      <c r="W228" s="2">
        <v>888</v>
      </c>
      <c r="X228" s="2" t="s">
        <v>46</v>
      </c>
      <c r="Y228" s="2" t="s">
        <v>47</v>
      </c>
      <c r="AA228" s="2" t="s">
        <v>48</v>
      </c>
      <c r="AB228" s="2">
        <v>1</v>
      </c>
      <c r="AC228" s="2" t="s">
        <v>604</v>
      </c>
      <c r="AD228" s="2" t="s">
        <v>50</v>
      </c>
      <c r="AE228" s="4">
        <v>9.9127170000000007</v>
      </c>
      <c r="AF228" s="4">
        <v>-10.798133</v>
      </c>
      <c r="AG228" s="2" t="s">
        <v>51</v>
      </c>
      <c r="AI228" s="2" t="s">
        <v>52</v>
      </c>
      <c r="AJ228" s="2" t="str">
        <f>IF(Table1[[#This Row],[Host]]="Mastomys natalensis", "Mn", IF(Table1[[#This Row],[Host]]="Homo Sapiens","Human","PROBLEMMEMEMMEMEMEMM"))</f>
        <v>Mn</v>
      </c>
      <c r="AK228" s="2" t="s">
        <v>53</v>
      </c>
      <c r="AL228" s="5">
        <v>42700</v>
      </c>
      <c r="AM228" s="6" t="s">
        <v>1090</v>
      </c>
      <c r="AO228" s="2" t="s">
        <v>650</v>
      </c>
    </row>
    <row r="229" spans="1:41" x14ac:dyDescent="0.3">
      <c r="A229" s="2">
        <v>172</v>
      </c>
      <c r="B229" s="2" t="str">
        <f>_xlfn.CONCAT(Table1[[#This Row],[Acession_no_.1]],"|",Table1[[#This Row],[Strain name]],"|",Table1[[#This Row],[host_simple]],"|",Table1[[#This Row],[Country]],"|",Table1[[#This Row],[date_text]])</f>
        <v>MT119631|Son-211|Mn|Guinea|2016-11-26</v>
      </c>
      <c r="C229" s="2" t="s">
        <v>1353</v>
      </c>
      <c r="D229" s="2" t="str">
        <f>IF(ISNUMBER(MATCH(B229,finalSelection!$A$1:$A$497,0)),"yes","no")</f>
        <v>no</v>
      </c>
      <c r="E229" s="2" t="s">
        <v>994</v>
      </c>
      <c r="F229" s="2" t="s">
        <v>651</v>
      </c>
      <c r="H229" s="2" t="s">
        <v>649</v>
      </c>
      <c r="I229" s="2" t="s">
        <v>56</v>
      </c>
      <c r="J229" s="2" t="s">
        <v>37</v>
      </c>
      <c r="K229" s="2" t="s">
        <v>38</v>
      </c>
      <c r="L229" s="2" t="s">
        <v>37</v>
      </c>
      <c r="M229" s="2" t="str">
        <f>VLOOKUP(C229,seqConcatenated!$A$1:$B$124,2, FALSE)</f>
        <v>MT119546 and MT119631 are merged</v>
      </c>
      <c r="N229" s="2" t="str">
        <f>IF(ISNA(Table1[[#This Row],[Column2]]),Table1[[#This Row],[comments2]], IF(O229="NA",M229,_xlfn.CONCAT(O229,"--",M229)))</f>
        <v>MT119546 and MT119631 are merged</v>
      </c>
      <c r="O229" s="2" t="s">
        <v>39</v>
      </c>
      <c r="P229" s="2" t="s">
        <v>40</v>
      </c>
      <c r="Q229" s="2" t="s">
        <v>41</v>
      </c>
      <c r="S229" s="2" t="s">
        <v>42</v>
      </c>
      <c r="T229" s="2" t="s">
        <v>43</v>
      </c>
      <c r="U229" s="2" t="s">
        <v>44</v>
      </c>
      <c r="V229" s="2" t="s">
        <v>45</v>
      </c>
      <c r="W229" s="2">
        <v>735</v>
      </c>
      <c r="X229" s="2" t="s">
        <v>46</v>
      </c>
      <c r="Y229" s="2" t="s">
        <v>47</v>
      </c>
      <c r="AA229" s="2" t="s">
        <v>48</v>
      </c>
      <c r="AB229" s="2">
        <v>1</v>
      </c>
      <c r="AC229" s="2" t="s">
        <v>604</v>
      </c>
      <c r="AD229" s="2" t="s">
        <v>50</v>
      </c>
      <c r="AE229" s="4">
        <v>9.9127170000000007</v>
      </c>
      <c r="AF229" s="4">
        <v>-10.798133</v>
      </c>
      <c r="AG229" s="2" t="s">
        <v>51</v>
      </c>
      <c r="AI229" s="2" t="s">
        <v>52</v>
      </c>
      <c r="AJ229" s="2" t="str">
        <f>IF(Table1[[#This Row],[Host]]="Mastomys natalensis", "Mn", IF(Table1[[#This Row],[Host]]="Homo Sapiens","Human","PROBLEMMEMEMMEMEMEMM"))</f>
        <v>Mn</v>
      </c>
      <c r="AK229" s="2" t="s">
        <v>53</v>
      </c>
      <c r="AL229" s="5">
        <v>42700</v>
      </c>
      <c r="AM229" s="6" t="s">
        <v>1090</v>
      </c>
      <c r="AO229" s="2" t="s">
        <v>652</v>
      </c>
    </row>
    <row r="230" spans="1:41" x14ac:dyDescent="0.3">
      <c r="A230" s="2">
        <v>76</v>
      </c>
      <c r="B230" s="2" t="str">
        <f>_xlfn.CONCAT(Table1[[#This Row],[Acession_no_.1]],"|",Table1[[#This Row],[Strain name]],"|",Table1[[#This Row],[host_simple]],"|",Table1[[#This Row],[Country]],"|",Table1[[#This Row],[date_text]])</f>
        <v>MT119535|Son-29|Mn|Guinea|2013-11-13</v>
      </c>
      <c r="C230" s="2" t="s">
        <v>1354</v>
      </c>
      <c r="D230" s="2" t="str">
        <f>IF(ISNUMBER(MATCH(B230,finalSelection!$A$1:$A$497,0)),"yes","no")</f>
        <v>yes</v>
      </c>
      <c r="E230" s="2" t="s">
        <v>995</v>
      </c>
      <c r="F230" s="2" t="s">
        <v>653</v>
      </c>
      <c r="H230" s="2" t="s">
        <v>654</v>
      </c>
      <c r="I230" s="2" t="s">
        <v>36</v>
      </c>
      <c r="J230" s="2" t="s">
        <v>37</v>
      </c>
      <c r="K230" s="2" t="s">
        <v>38</v>
      </c>
      <c r="L230" s="2" t="s">
        <v>37</v>
      </c>
      <c r="M230" s="2" t="str">
        <f>VLOOKUP(C230,seqConcatenated!$A$1:$B$124,2, FALSE)</f>
        <v>MT119535 and MT119620 are merged</v>
      </c>
      <c r="N230" s="2" t="str">
        <f>IF(ISNA(Table1[[#This Row],[Column2]]),Table1[[#This Row],[comments2]], IF(O230="NA",M230,_xlfn.CONCAT(O230,"--",M230)))</f>
        <v>&lt;500nt - NP counterpart exists but both together are &lt;1000nt - however given that threshold is 500 for a segment then combined the two genes overcome this --MT119535 and MT119620 are merged</v>
      </c>
      <c r="O230" s="2" t="s">
        <v>548</v>
      </c>
      <c r="P230" s="2" t="s">
        <v>40</v>
      </c>
      <c r="Q230" s="2" t="s">
        <v>41</v>
      </c>
      <c r="S230" s="2" t="s">
        <v>42</v>
      </c>
      <c r="T230" s="2" t="s">
        <v>43</v>
      </c>
      <c r="U230" s="2" t="s">
        <v>44</v>
      </c>
      <c r="V230" s="2" t="s">
        <v>45</v>
      </c>
      <c r="W230" s="2">
        <v>215</v>
      </c>
      <c r="X230" s="2" t="s">
        <v>46</v>
      </c>
      <c r="Y230" s="2" t="s">
        <v>47</v>
      </c>
      <c r="AA230" s="2" t="s">
        <v>48</v>
      </c>
      <c r="AB230" s="2">
        <v>1</v>
      </c>
      <c r="AC230" s="2" t="s">
        <v>604</v>
      </c>
      <c r="AD230" s="2" t="s">
        <v>50</v>
      </c>
      <c r="AE230" s="4">
        <v>9.9127170000000007</v>
      </c>
      <c r="AF230" s="4">
        <v>-10.798133</v>
      </c>
      <c r="AG230" s="2" t="s">
        <v>51</v>
      </c>
      <c r="AI230" s="2" t="s">
        <v>52</v>
      </c>
      <c r="AJ230" s="2" t="str">
        <f>IF(Table1[[#This Row],[Host]]="Mastomys natalensis", "Mn", IF(Table1[[#This Row],[Host]]="Homo Sapiens","Human","PROBLEMMEMEMMEMEMEMM"))</f>
        <v>Mn</v>
      </c>
      <c r="AK230" s="2" t="s">
        <v>53</v>
      </c>
      <c r="AL230" s="5">
        <v>41591</v>
      </c>
      <c r="AM230" s="6" t="s">
        <v>1091</v>
      </c>
      <c r="AO230" s="2" t="s">
        <v>655</v>
      </c>
    </row>
    <row r="231" spans="1:41" x14ac:dyDescent="0.3">
      <c r="A231" s="2">
        <v>161</v>
      </c>
      <c r="B231" s="2" t="str">
        <f>_xlfn.CONCAT(Table1[[#This Row],[Acession_no_.1]],"|",Table1[[#This Row],[Strain name]],"|",Table1[[#This Row],[host_simple]],"|",Table1[[#This Row],[Country]],"|",Table1[[#This Row],[date_text]])</f>
        <v>MT119620|Son-29|Mn|Guinea|2013-11-13</v>
      </c>
      <c r="C231" s="2" t="s">
        <v>1354</v>
      </c>
      <c r="D231" s="2" t="str">
        <f>IF(ISNUMBER(MATCH(B231,finalSelection!$A$1:$A$497,0)),"yes","no")</f>
        <v>no</v>
      </c>
      <c r="E231" s="2" t="s">
        <v>996</v>
      </c>
      <c r="F231" s="2" t="s">
        <v>656</v>
      </c>
      <c r="H231" s="2" t="s">
        <v>654</v>
      </c>
      <c r="I231" s="2" t="s">
        <v>56</v>
      </c>
      <c r="J231" s="2" t="s">
        <v>37</v>
      </c>
      <c r="K231" s="2" t="s">
        <v>38</v>
      </c>
      <c r="L231" s="2" t="s">
        <v>37</v>
      </c>
      <c r="M231" s="2" t="str">
        <f>VLOOKUP(C231,seqConcatenated!$A$1:$B$124,2, FALSE)</f>
        <v>MT119535 and MT119620 are merged</v>
      </c>
      <c r="N231" s="2" t="str">
        <f>IF(ISNA(Table1[[#This Row],[Column2]]),Table1[[#This Row],[comments2]], IF(O231="NA",M231,_xlfn.CONCAT(O231,"--",M231)))</f>
        <v>MT119535 and MT119620 are merged</v>
      </c>
      <c r="O231" s="2" t="s">
        <v>39</v>
      </c>
      <c r="P231" s="2" t="s">
        <v>40</v>
      </c>
      <c r="Q231" s="2" t="s">
        <v>41</v>
      </c>
      <c r="S231" s="2" t="s">
        <v>42</v>
      </c>
      <c r="T231" s="2" t="s">
        <v>43</v>
      </c>
      <c r="U231" s="2" t="s">
        <v>44</v>
      </c>
      <c r="V231" s="2" t="s">
        <v>45</v>
      </c>
      <c r="W231" s="2">
        <v>628</v>
      </c>
      <c r="X231" s="2" t="s">
        <v>46</v>
      </c>
      <c r="Y231" s="2" t="s">
        <v>47</v>
      </c>
      <c r="AA231" s="2" t="s">
        <v>48</v>
      </c>
      <c r="AB231" s="2">
        <v>1</v>
      </c>
      <c r="AC231" s="2" t="s">
        <v>604</v>
      </c>
      <c r="AD231" s="2" t="s">
        <v>50</v>
      </c>
      <c r="AE231" s="4">
        <v>9.9127170000000007</v>
      </c>
      <c r="AF231" s="4">
        <v>-10.798133</v>
      </c>
      <c r="AG231" s="2" t="s">
        <v>51</v>
      </c>
      <c r="AI231" s="2" t="s">
        <v>52</v>
      </c>
      <c r="AJ231" s="2" t="str">
        <f>IF(Table1[[#This Row],[Host]]="Mastomys natalensis", "Mn", IF(Table1[[#This Row],[Host]]="Homo Sapiens","Human","PROBLEMMEMEMMEMEMEMM"))</f>
        <v>Mn</v>
      </c>
      <c r="AK231" s="2" t="s">
        <v>53</v>
      </c>
      <c r="AL231" s="5">
        <v>41591</v>
      </c>
      <c r="AM231" s="6" t="s">
        <v>1091</v>
      </c>
      <c r="AO231" s="2" t="s">
        <v>657</v>
      </c>
    </row>
    <row r="232" spans="1:41" x14ac:dyDescent="0.3">
      <c r="A232" s="2">
        <v>77</v>
      </c>
      <c r="B232" s="2" t="str">
        <f>_xlfn.CONCAT(Table1[[#This Row],[Acession_no_.1]],"|",Table1[[#This Row],[Strain name]],"|",Table1[[#This Row],[host_simple]],"|",Table1[[#This Row],[Country]],"|",Table1[[#This Row],[date_text]])</f>
        <v>MT119536|Son-69|Mn|Guinea|2014-04-07</v>
      </c>
      <c r="C232" s="2" t="s">
        <v>1355</v>
      </c>
      <c r="D232" s="2" t="str">
        <f>IF(ISNUMBER(MATCH(B232,finalSelection!$A$1:$A$497,0)),"yes","no")</f>
        <v>yes</v>
      </c>
      <c r="E232" s="2" t="s">
        <v>997</v>
      </c>
      <c r="F232" s="2" t="s">
        <v>658</v>
      </c>
      <c r="H232" s="2" t="s">
        <v>659</v>
      </c>
      <c r="I232" s="2" t="s">
        <v>36</v>
      </c>
      <c r="J232" s="2" t="s">
        <v>37</v>
      </c>
      <c r="K232" s="2" t="s">
        <v>38</v>
      </c>
      <c r="L232" s="2" t="s">
        <v>37</v>
      </c>
      <c r="M232" s="2" t="str">
        <f>VLOOKUP(C232,seqConcatenated!$A$1:$B$124,2, FALSE)</f>
        <v>MT119536 and MT119621 are merged</v>
      </c>
      <c r="N232" s="2" t="str">
        <f>IF(ISNA(Table1[[#This Row],[Column2]]),Table1[[#This Row],[comments2]], IF(O232="NA",M232,_xlfn.CONCAT(O232,"--",M232)))</f>
        <v>MT119536 and MT119621 are merged</v>
      </c>
      <c r="O232" s="2" t="s">
        <v>39</v>
      </c>
      <c r="P232" s="2" t="s">
        <v>40</v>
      </c>
      <c r="Q232" s="2" t="s">
        <v>41</v>
      </c>
      <c r="S232" s="2" t="s">
        <v>42</v>
      </c>
      <c r="T232" s="2" t="s">
        <v>43</v>
      </c>
      <c r="U232" s="2" t="s">
        <v>44</v>
      </c>
      <c r="V232" s="2" t="s">
        <v>45</v>
      </c>
      <c r="W232" s="2">
        <v>888</v>
      </c>
      <c r="X232" s="2" t="s">
        <v>46</v>
      </c>
      <c r="Y232" s="2" t="s">
        <v>47</v>
      </c>
      <c r="AA232" s="2" t="s">
        <v>48</v>
      </c>
      <c r="AB232" s="2">
        <v>1</v>
      </c>
      <c r="AC232" s="2" t="s">
        <v>604</v>
      </c>
      <c r="AD232" s="2" t="s">
        <v>50</v>
      </c>
      <c r="AE232" s="4">
        <v>9.9127170000000007</v>
      </c>
      <c r="AF232" s="4">
        <v>-10.798133</v>
      </c>
      <c r="AG232" s="2" t="s">
        <v>51</v>
      </c>
      <c r="AI232" s="2" t="s">
        <v>52</v>
      </c>
      <c r="AJ232" s="2" t="str">
        <f>IF(Table1[[#This Row],[Host]]="Mastomys natalensis", "Mn", IF(Table1[[#This Row],[Host]]="Homo Sapiens","Human","PROBLEMMEMEMMEMEMEMM"))</f>
        <v>Mn</v>
      </c>
      <c r="AK232" s="2" t="s">
        <v>53</v>
      </c>
      <c r="AL232" s="5">
        <v>41736</v>
      </c>
      <c r="AM232" s="6" t="s">
        <v>1092</v>
      </c>
      <c r="AO232" s="2" t="s">
        <v>660</v>
      </c>
    </row>
    <row r="233" spans="1:41" x14ac:dyDescent="0.3">
      <c r="A233" s="2">
        <v>162</v>
      </c>
      <c r="B233" s="2" t="str">
        <f>_xlfn.CONCAT(Table1[[#This Row],[Acession_no_.1]],"|",Table1[[#This Row],[Strain name]],"|",Table1[[#This Row],[host_simple]],"|",Table1[[#This Row],[Country]],"|",Table1[[#This Row],[date_text]])</f>
        <v>MT119621|Son-69|Mn|Guinea|2014-04-07</v>
      </c>
      <c r="C233" s="2" t="s">
        <v>1355</v>
      </c>
      <c r="D233" s="2" t="str">
        <f>IF(ISNUMBER(MATCH(B233,finalSelection!$A$1:$A$497,0)),"yes","no")</f>
        <v>no</v>
      </c>
      <c r="E233" s="2" t="s">
        <v>998</v>
      </c>
      <c r="F233" s="2" t="s">
        <v>661</v>
      </c>
      <c r="H233" s="2" t="s">
        <v>659</v>
      </c>
      <c r="I233" s="2" t="s">
        <v>56</v>
      </c>
      <c r="J233" s="2" t="s">
        <v>37</v>
      </c>
      <c r="K233" s="2" t="s">
        <v>38</v>
      </c>
      <c r="L233" s="2" t="s">
        <v>37</v>
      </c>
      <c r="M233" s="2" t="str">
        <f>VLOOKUP(C233,seqConcatenated!$A$1:$B$124,2, FALSE)</f>
        <v>MT119536 and MT119621 are merged</v>
      </c>
      <c r="N233" s="2" t="str">
        <f>IF(ISNA(Table1[[#This Row],[Column2]]),Table1[[#This Row],[comments2]], IF(O233="NA",M233,_xlfn.CONCAT(O233,"--",M233)))</f>
        <v>MT119536 and MT119621 are merged</v>
      </c>
      <c r="O233" s="2" t="s">
        <v>39</v>
      </c>
      <c r="P233" s="2" t="s">
        <v>40</v>
      </c>
      <c r="Q233" s="2" t="s">
        <v>41</v>
      </c>
      <c r="S233" s="2" t="s">
        <v>42</v>
      </c>
      <c r="T233" s="2" t="s">
        <v>43</v>
      </c>
      <c r="U233" s="2" t="s">
        <v>44</v>
      </c>
      <c r="V233" s="2" t="s">
        <v>45</v>
      </c>
      <c r="W233" s="2">
        <v>735</v>
      </c>
      <c r="X233" s="2" t="s">
        <v>46</v>
      </c>
      <c r="Y233" s="2" t="s">
        <v>47</v>
      </c>
      <c r="AA233" s="2" t="s">
        <v>48</v>
      </c>
      <c r="AB233" s="2">
        <v>1</v>
      </c>
      <c r="AC233" s="2" t="s">
        <v>604</v>
      </c>
      <c r="AD233" s="2" t="s">
        <v>50</v>
      </c>
      <c r="AE233" s="4">
        <v>9.9127170000000007</v>
      </c>
      <c r="AF233" s="4">
        <v>-10.798133</v>
      </c>
      <c r="AG233" s="2" t="s">
        <v>51</v>
      </c>
      <c r="AI233" s="2" t="s">
        <v>52</v>
      </c>
      <c r="AJ233" s="2" t="str">
        <f>IF(Table1[[#This Row],[Host]]="Mastomys natalensis", "Mn", IF(Table1[[#This Row],[Host]]="Homo Sapiens","Human","PROBLEMMEMEMMEMEMEMM"))</f>
        <v>Mn</v>
      </c>
      <c r="AK233" s="2" t="s">
        <v>53</v>
      </c>
      <c r="AL233" s="5">
        <v>41736</v>
      </c>
      <c r="AM233" s="6" t="s">
        <v>1092</v>
      </c>
      <c r="AO233" s="2" t="s">
        <v>662</v>
      </c>
    </row>
    <row r="234" spans="1:41" x14ac:dyDescent="0.3">
      <c r="A234" s="2">
        <v>222</v>
      </c>
      <c r="B234" s="2" t="str">
        <f>_xlfn.CONCAT(Table1[[#This Row],[Acession_no_.1]],"|",Table1[[#This Row],[Strain name]],"|",Table1[[#This Row],[host_simple]],"|",Table1[[#This Row],[Country]],"|",Table1[[#This Row],[date_text]])</f>
        <v>MN123691|Son109|Mn|Guinea|2014-04-09</v>
      </c>
      <c r="C234" s="2" t="s">
        <v>1356</v>
      </c>
      <c r="D234" s="2" t="str">
        <f>IF(ISNUMBER(MATCH(B234,finalSelection!$A$1:$A$497,0)),"yes","no")</f>
        <v>yes</v>
      </c>
      <c r="E234" s="2" t="s">
        <v>999</v>
      </c>
      <c r="F234" s="2" t="s">
        <v>663</v>
      </c>
      <c r="H234" s="2" t="s">
        <v>664</v>
      </c>
      <c r="I234" s="2" t="s">
        <v>36</v>
      </c>
      <c r="J234" s="2" t="s">
        <v>37</v>
      </c>
      <c r="K234" s="2" t="s">
        <v>38</v>
      </c>
      <c r="L234" s="2" t="s">
        <v>37</v>
      </c>
      <c r="M234" s="2" t="str">
        <f>VLOOKUP(C234,seqConcatenated!$A$1:$B$124,2, FALSE)</f>
        <v>MN123691 and KT833220 are merged</v>
      </c>
      <c r="N234" s="2" t="str">
        <f>IF(ISNA(Table1[[#This Row],[Column2]]),Table1[[#This Row],[comments2]], IF(O234="NA",M234,_xlfn.CONCAT(O234,"--",M234)))</f>
        <v>MN123691 and KT833220 are merged</v>
      </c>
      <c r="O234" s="2" t="s">
        <v>39</v>
      </c>
      <c r="P234" s="2" t="s">
        <v>150</v>
      </c>
      <c r="Q234" s="2" t="s">
        <v>151</v>
      </c>
      <c r="S234" s="2" t="s">
        <v>42</v>
      </c>
      <c r="T234" s="2" t="s">
        <v>43</v>
      </c>
      <c r="U234" s="2" t="s">
        <v>44</v>
      </c>
      <c r="V234" s="2" t="s">
        <v>45</v>
      </c>
      <c r="W234" s="2">
        <v>888</v>
      </c>
      <c r="X234" s="2" t="s">
        <v>46</v>
      </c>
      <c r="Y234" s="2" t="s">
        <v>47</v>
      </c>
      <c r="AA234" s="2" t="s">
        <v>48</v>
      </c>
      <c r="AB234" s="2">
        <v>1</v>
      </c>
      <c r="AC234" s="2" t="s">
        <v>604</v>
      </c>
      <c r="AD234" s="2" t="s">
        <v>50</v>
      </c>
      <c r="AE234" s="4">
        <v>9.9127170000000007</v>
      </c>
      <c r="AF234" s="4">
        <v>-10.798133</v>
      </c>
      <c r="AG234" s="2" t="s">
        <v>51</v>
      </c>
      <c r="AI234" s="2" t="s">
        <v>52</v>
      </c>
      <c r="AJ234" s="2" t="str">
        <f>IF(Table1[[#This Row],[Host]]="Mastomys natalensis", "Mn", IF(Table1[[#This Row],[Host]]="Homo Sapiens","Human","PROBLEMMEMEMMEMEMEMM"))</f>
        <v>Mn</v>
      </c>
      <c r="AK234" s="2" t="s">
        <v>53</v>
      </c>
      <c r="AL234" s="5">
        <v>41738</v>
      </c>
      <c r="AM234" s="6" t="s">
        <v>1086</v>
      </c>
      <c r="AO234" s="2" t="s">
        <v>665</v>
      </c>
    </row>
    <row r="235" spans="1:41" x14ac:dyDescent="0.3">
      <c r="A235" s="2">
        <v>316</v>
      </c>
      <c r="B235" s="2" t="str">
        <f>_xlfn.CONCAT(Table1[[#This Row],[Acession_no_.1]],"|",Table1[[#This Row],[Strain name]],"|",Table1[[#This Row],[host_simple]],"|",Table1[[#This Row],[Country]],"|",Table1[[#This Row],[date_text]])</f>
        <v>KT833220|Son109|Mn|Guinea|2014-04-09</v>
      </c>
      <c r="C235" s="2" t="s">
        <v>1356</v>
      </c>
      <c r="D235" s="2" t="str">
        <f>IF(ISNUMBER(MATCH(B235,finalSelection!$A$1:$A$497,0)),"yes","no")</f>
        <v>no</v>
      </c>
      <c r="E235" s="2" t="s">
        <v>1000</v>
      </c>
      <c r="F235" s="2" t="s">
        <v>666</v>
      </c>
      <c r="H235" s="2" t="s">
        <v>664</v>
      </c>
      <c r="I235" s="2" t="s">
        <v>56</v>
      </c>
      <c r="J235" s="2" t="s">
        <v>154</v>
      </c>
      <c r="K235" s="2" t="s">
        <v>38</v>
      </c>
      <c r="L235" s="2" t="s">
        <v>37</v>
      </c>
      <c r="M235" s="2" t="str">
        <f>VLOOKUP(C235,seqConcatenated!$A$1:$B$124,2, FALSE)</f>
        <v>MN123691 and KT833220 are merged</v>
      </c>
      <c r="N235" s="2" t="str">
        <f>IF(ISNA(Table1[[#This Row],[Column2]]),Table1[[#This Row],[comments2]], IF(O235="NA",M235,_xlfn.CONCAT(O235,"--",M235)))</f>
        <v>MN123691 and KT833220 are merged</v>
      </c>
      <c r="O235" s="2" t="s">
        <v>39</v>
      </c>
      <c r="P235" s="2" t="s">
        <v>155</v>
      </c>
      <c r="Q235" s="2" t="s">
        <v>156</v>
      </c>
      <c r="S235" s="2" t="s">
        <v>42</v>
      </c>
      <c r="T235" s="2" t="s">
        <v>43</v>
      </c>
      <c r="U235" s="2" t="s">
        <v>44</v>
      </c>
      <c r="V235" s="2" t="s">
        <v>45</v>
      </c>
      <c r="W235" s="2">
        <v>754</v>
      </c>
      <c r="X235" s="2" t="s">
        <v>46</v>
      </c>
      <c r="Y235" s="2" t="s">
        <v>47</v>
      </c>
      <c r="AA235" s="2" t="s">
        <v>48</v>
      </c>
      <c r="AB235" s="2">
        <v>1</v>
      </c>
      <c r="AC235" s="2" t="s">
        <v>604</v>
      </c>
      <c r="AD235" s="2" t="s">
        <v>50</v>
      </c>
      <c r="AE235" s="4">
        <v>9.9127170000000007</v>
      </c>
      <c r="AF235" s="4">
        <v>-10.798133</v>
      </c>
      <c r="AG235" s="2" t="s">
        <v>51</v>
      </c>
      <c r="AI235" s="2" t="s">
        <v>52</v>
      </c>
      <c r="AJ235" s="2" t="str">
        <f>IF(Table1[[#This Row],[Host]]="Mastomys natalensis", "Mn", IF(Table1[[#This Row],[Host]]="Homo Sapiens","Human","PROBLEMMEMEMMEMEMEMM"))</f>
        <v>Mn</v>
      </c>
      <c r="AK235" s="2" t="s">
        <v>53</v>
      </c>
      <c r="AL235" s="5">
        <v>41738</v>
      </c>
      <c r="AM235" s="6" t="s">
        <v>1086</v>
      </c>
      <c r="AO235" s="2" t="s">
        <v>667</v>
      </c>
    </row>
    <row r="236" spans="1:41" x14ac:dyDescent="0.3">
      <c r="A236" s="2">
        <v>221</v>
      </c>
      <c r="B236" s="2" t="str">
        <f>_xlfn.CONCAT(Table1[[#This Row],[Acession_no_.1]],"|",Table1[[#This Row],[Strain name]],"|",Table1[[#This Row],[host_simple]],"|",Table1[[#This Row],[Country]],"|",Table1[[#This Row],[date_text]])</f>
        <v>MN123690|Son85|Mn|Guinea|2014-04-08</v>
      </c>
      <c r="C236" s="2" t="s">
        <v>1357</v>
      </c>
      <c r="D236" s="2" t="str">
        <f>IF(ISNUMBER(MATCH(B236,finalSelection!$A$1:$A$497,0)),"yes","no")</f>
        <v>yes</v>
      </c>
      <c r="E236" s="2" t="s">
        <v>1001</v>
      </c>
      <c r="F236" s="2" t="s">
        <v>668</v>
      </c>
      <c r="H236" s="2" t="s">
        <v>669</v>
      </c>
      <c r="I236" s="2" t="s">
        <v>36</v>
      </c>
      <c r="J236" s="2" t="s">
        <v>37</v>
      </c>
      <c r="K236" s="2" t="s">
        <v>38</v>
      </c>
      <c r="L236" s="2" t="s">
        <v>37</v>
      </c>
      <c r="M236" s="2" t="str">
        <f>VLOOKUP(C236,seqConcatenated!$A$1:$B$124,2, FALSE)</f>
        <v>MN123690 and KT833219 are merged</v>
      </c>
      <c r="N236" s="2" t="str">
        <f>IF(ISNA(Table1[[#This Row],[Column2]]),Table1[[#This Row],[comments2]], IF(O236="NA",M236,_xlfn.CONCAT(O236,"--",M236)))</f>
        <v>MN123690 and KT833219 are merged</v>
      </c>
      <c r="O236" s="2" t="s">
        <v>39</v>
      </c>
      <c r="P236" s="2" t="s">
        <v>150</v>
      </c>
      <c r="Q236" s="2" t="s">
        <v>151</v>
      </c>
      <c r="S236" s="2" t="s">
        <v>42</v>
      </c>
      <c r="T236" s="2" t="s">
        <v>43</v>
      </c>
      <c r="U236" s="2" t="s">
        <v>44</v>
      </c>
      <c r="V236" s="2" t="s">
        <v>45</v>
      </c>
      <c r="W236" s="2">
        <v>888</v>
      </c>
      <c r="X236" s="2" t="s">
        <v>46</v>
      </c>
      <c r="Y236" s="2" t="s">
        <v>47</v>
      </c>
      <c r="AA236" s="2" t="s">
        <v>48</v>
      </c>
      <c r="AB236" s="2">
        <v>1</v>
      </c>
      <c r="AC236" s="2" t="s">
        <v>604</v>
      </c>
      <c r="AD236" s="2" t="s">
        <v>50</v>
      </c>
      <c r="AE236" s="4">
        <v>9.9127170000000007</v>
      </c>
      <c r="AF236" s="4">
        <v>-10.798133</v>
      </c>
      <c r="AG236" s="2" t="s">
        <v>51</v>
      </c>
      <c r="AI236" s="2" t="s">
        <v>52</v>
      </c>
      <c r="AJ236" s="2" t="str">
        <f>IF(Table1[[#This Row],[Host]]="Mastomys natalensis", "Mn", IF(Table1[[#This Row],[Host]]="Homo Sapiens","Human","PROBLEMMEMEMMEMEMEMM"))</f>
        <v>Mn</v>
      </c>
      <c r="AK236" s="2" t="s">
        <v>53</v>
      </c>
      <c r="AL236" s="5">
        <v>41737</v>
      </c>
      <c r="AM236" s="6" t="s">
        <v>1093</v>
      </c>
      <c r="AO236" s="2" t="s">
        <v>670</v>
      </c>
    </row>
    <row r="237" spans="1:41" x14ac:dyDescent="0.3">
      <c r="A237" s="2">
        <v>315</v>
      </c>
      <c r="B237" s="2" t="str">
        <f>_xlfn.CONCAT(Table1[[#This Row],[Acession_no_.1]],"|",Table1[[#This Row],[Strain name]],"|",Table1[[#This Row],[host_simple]],"|",Table1[[#This Row],[Country]],"|",Table1[[#This Row],[date_text]])</f>
        <v>KT833219|Son85|Mn|Guinea|2014-04-08</v>
      </c>
      <c r="C237" s="2" t="s">
        <v>1357</v>
      </c>
      <c r="D237" s="2" t="str">
        <f>IF(ISNUMBER(MATCH(B237,finalSelection!$A$1:$A$497,0)),"yes","no")</f>
        <v>no</v>
      </c>
      <c r="E237" s="2" t="s">
        <v>1002</v>
      </c>
      <c r="F237" s="2" t="s">
        <v>671</v>
      </c>
      <c r="H237" s="2" t="s">
        <v>669</v>
      </c>
      <c r="I237" s="2" t="s">
        <v>56</v>
      </c>
      <c r="J237" s="2" t="s">
        <v>154</v>
      </c>
      <c r="K237" s="2" t="s">
        <v>38</v>
      </c>
      <c r="L237" s="2" t="s">
        <v>37</v>
      </c>
      <c r="M237" s="2" t="str">
        <f>VLOOKUP(C237,seqConcatenated!$A$1:$B$124,2, FALSE)</f>
        <v>MN123690 and KT833219 are merged</v>
      </c>
      <c r="N237" s="2" t="str">
        <f>IF(ISNA(Table1[[#This Row],[Column2]]),Table1[[#This Row],[comments2]], IF(O237="NA",M237,_xlfn.CONCAT(O237,"--",M237)))</f>
        <v>MN123690 and KT833219 are merged</v>
      </c>
      <c r="O237" s="2" t="s">
        <v>39</v>
      </c>
      <c r="P237" s="2" t="s">
        <v>155</v>
      </c>
      <c r="Q237" s="2" t="s">
        <v>156</v>
      </c>
      <c r="S237" s="2" t="s">
        <v>42</v>
      </c>
      <c r="T237" s="2" t="s">
        <v>43</v>
      </c>
      <c r="U237" s="2" t="s">
        <v>44</v>
      </c>
      <c r="V237" s="2" t="s">
        <v>45</v>
      </c>
      <c r="W237" s="2">
        <v>754</v>
      </c>
      <c r="X237" s="2" t="s">
        <v>46</v>
      </c>
      <c r="Y237" s="2" t="s">
        <v>47</v>
      </c>
      <c r="AA237" s="2" t="s">
        <v>48</v>
      </c>
      <c r="AB237" s="2">
        <v>1</v>
      </c>
      <c r="AC237" s="2" t="s">
        <v>604</v>
      </c>
      <c r="AD237" s="2" t="s">
        <v>50</v>
      </c>
      <c r="AE237" s="4">
        <v>9.9127170000000007</v>
      </c>
      <c r="AF237" s="4">
        <v>-10.798133</v>
      </c>
      <c r="AG237" s="2" t="s">
        <v>51</v>
      </c>
      <c r="AI237" s="2" t="s">
        <v>52</v>
      </c>
      <c r="AJ237" s="2" t="str">
        <f>IF(Table1[[#This Row],[Host]]="Mastomys natalensis", "Mn", IF(Table1[[#This Row],[Host]]="Homo Sapiens","Human","PROBLEMMEMEMMEMEMEMM"))</f>
        <v>Mn</v>
      </c>
      <c r="AK237" s="2" t="s">
        <v>53</v>
      </c>
      <c r="AL237" s="5">
        <v>41737</v>
      </c>
      <c r="AM237" s="6" t="s">
        <v>1093</v>
      </c>
      <c r="AO237" s="2" t="s">
        <v>672</v>
      </c>
    </row>
    <row r="238" spans="1:41" x14ac:dyDescent="0.3">
      <c r="A238" s="2">
        <v>88</v>
      </c>
      <c r="B238" s="2" t="str">
        <f>_xlfn.CONCAT(Table1[[#This Row],[Acession_no_.1]],"|",Table1[[#This Row],[Strain name]],"|",Table1[[#This Row],[host_simple]],"|",Table1[[#This Row],[Country]],"|",Table1[[#This Row],[date_text]])</f>
        <v>MT119547|Yar-09|Mn|Guinea|2013-11-20</v>
      </c>
      <c r="C238" s="2" t="s">
        <v>1358</v>
      </c>
      <c r="D238" s="2" t="str">
        <f>IF(ISNUMBER(MATCH(B238,finalSelection!$A$1:$A$497,0)),"yes","no")</f>
        <v>yes</v>
      </c>
      <c r="E238" s="2" t="s">
        <v>1003</v>
      </c>
      <c r="F238" s="2" t="s">
        <v>673</v>
      </c>
      <c r="H238" s="2" t="s">
        <v>674</v>
      </c>
      <c r="I238" s="2" t="s">
        <v>36</v>
      </c>
      <c r="J238" s="2" t="s">
        <v>37</v>
      </c>
      <c r="K238" s="2" t="s">
        <v>38</v>
      </c>
      <c r="L238" s="2" t="s">
        <v>37</v>
      </c>
      <c r="M238" s="2" t="str">
        <f>VLOOKUP(C238,seqConcatenated!$A$1:$B$124,2, FALSE)</f>
        <v>MT119547 and MT119632 are merged</v>
      </c>
      <c r="N238" s="2" t="str">
        <f>IF(ISNA(Table1[[#This Row],[Column2]]),Table1[[#This Row],[comments2]], IF(O238="NA",M238,_xlfn.CONCAT(O238,"--",M238)))</f>
        <v>MT119547 and MT119632 are merged</v>
      </c>
      <c r="O238" s="2" t="s">
        <v>39</v>
      </c>
      <c r="P238" s="2" t="s">
        <v>40</v>
      </c>
      <c r="Q238" s="2" t="s">
        <v>41</v>
      </c>
      <c r="S238" s="2" t="s">
        <v>42</v>
      </c>
      <c r="T238" s="2" t="s">
        <v>43</v>
      </c>
      <c r="U238" s="2" t="s">
        <v>44</v>
      </c>
      <c r="V238" s="2" t="s">
        <v>45</v>
      </c>
      <c r="W238" s="2">
        <v>888</v>
      </c>
      <c r="X238" s="2" t="s">
        <v>46</v>
      </c>
      <c r="Y238" s="2" t="s">
        <v>47</v>
      </c>
      <c r="AA238" s="2" t="s">
        <v>48</v>
      </c>
      <c r="AB238" s="2">
        <v>1</v>
      </c>
      <c r="AC238" s="2" t="s">
        <v>675</v>
      </c>
      <c r="AD238" s="2" t="s">
        <v>50</v>
      </c>
      <c r="AE238" s="4">
        <v>9.9544499999999996</v>
      </c>
      <c r="AF238" s="4">
        <v>-10.7318833</v>
      </c>
      <c r="AG238" s="2" t="s">
        <v>51</v>
      </c>
      <c r="AI238" s="2" t="s">
        <v>52</v>
      </c>
      <c r="AJ238" s="2" t="str">
        <f>IF(Table1[[#This Row],[Host]]="Mastomys natalensis", "Mn", IF(Table1[[#This Row],[Host]]="Homo Sapiens","Human","PROBLEMMEMEMMEMEMEMM"))</f>
        <v>Mn</v>
      </c>
      <c r="AK238" s="2" t="s">
        <v>53</v>
      </c>
      <c r="AL238" s="5">
        <v>41598</v>
      </c>
      <c r="AM238" s="6" t="s">
        <v>1094</v>
      </c>
      <c r="AO238" s="2" t="s">
        <v>676</v>
      </c>
    </row>
    <row r="239" spans="1:41" x14ac:dyDescent="0.3">
      <c r="A239" s="2">
        <v>173</v>
      </c>
      <c r="B239" s="2" t="str">
        <f>_xlfn.CONCAT(Table1[[#This Row],[Acession_no_.1]],"|",Table1[[#This Row],[Strain name]],"|",Table1[[#This Row],[host_simple]],"|",Table1[[#This Row],[Country]],"|",Table1[[#This Row],[date_text]])</f>
        <v>MT119632|Yar-09|Mn|Guinea|2013-11-20</v>
      </c>
      <c r="C239" s="2" t="s">
        <v>1358</v>
      </c>
      <c r="D239" s="2" t="str">
        <f>IF(ISNUMBER(MATCH(B239,finalSelection!$A$1:$A$497,0)),"yes","no")</f>
        <v>no</v>
      </c>
      <c r="E239" s="2" t="s">
        <v>1004</v>
      </c>
      <c r="F239" s="2" t="s">
        <v>677</v>
      </c>
      <c r="H239" s="2" t="s">
        <v>674</v>
      </c>
      <c r="I239" s="2" t="s">
        <v>56</v>
      </c>
      <c r="J239" s="2" t="s">
        <v>37</v>
      </c>
      <c r="K239" s="2" t="s">
        <v>38</v>
      </c>
      <c r="L239" s="2" t="s">
        <v>37</v>
      </c>
      <c r="M239" s="2" t="str">
        <f>VLOOKUP(C239,seqConcatenated!$A$1:$B$124,2, FALSE)</f>
        <v>MT119547 and MT119632 are merged</v>
      </c>
      <c r="N239" s="2" t="str">
        <f>IF(ISNA(Table1[[#This Row],[Column2]]),Table1[[#This Row],[comments2]], IF(O239="NA",M239,_xlfn.CONCAT(O239,"--",M239)))</f>
        <v>MT119547 and MT119632 are merged</v>
      </c>
      <c r="O239" s="2" t="s">
        <v>39</v>
      </c>
      <c r="P239" s="2" t="s">
        <v>40</v>
      </c>
      <c r="Q239" s="2" t="s">
        <v>41</v>
      </c>
      <c r="S239" s="2" t="s">
        <v>42</v>
      </c>
      <c r="T239" s="2" t="s">
        <v>43</v>
      </c>
      <c r="U239" s="2" t="s">
        <v>44</v>
      </c>
      <c r="V239" s="2" t="s">
        <v>45</v>
      </c>
      <c r="W239" s="2">
        <v>708</v>
      </c>
      <c r="X239" s="2" t="s">
        <v>46</v>
      </c>
      <c r="Y239" s="2" t="s">
        <v>47</v>
      </c>
      <c r="AA239" s="2" t="s">
        <v>48</v>
      </c>
      <c r="AB239" s="2">
        <v>1</v>
      </c>
      <c r="AC239" s="2" t="s">
        <v>675</v>
      </c>
      <c r="AD239" s="2" t="s">
        <v>50</v>
      </c>
      <c r="AE239" s="4">
        <v>9.9544499999999996</v>
      </c>
      <c r="AF239" s="4">
        <v>-10.7318833</v>
      </c>
      <c r="AG239" s="2" t="s">
        <v>51</v>
      </c>
      <c r="AI239" s="2" t="s">
        <v>52</v>
      </c>
      <c r="AJ239" s="2" t="str">
        <f>IF(Table1[[#This Row],[Host]]="Mastomys natalensis", "Mn", IF(Table1[[#This Row],[Host]]="Homo Sapiens","Human","PROBLEMMEMEMMEMEMEMM"))</f>
        <v>Mn</v>
      </c>
      <c r="AK239" s="2" t="s">
        <v>53</v>
      </c>
      <c r="AL239" s="5">
        <v>41598</v>
      </c>
      <c r="AM239" s="6" t="s">
        <v>1094</v>
      </c>
      <c r="AO239" s="2" t="s">
        <v>678</v>
      </c>
    </row>
    <row r="240" spans="1:41" x14ac:dyDescent="0.3">
      <c r="A240" s="2">
        <v>93</v>
      </c>
      <c r="B240" s="2" t="str">
        <f>_xlfn.CONCAT(Table1[[#This Row],[Acession_no_.1]],"|",Table1[[#This Row],[Strain name]],"|",Table1[[#This Row],[host_simple]],"|",Table1[[#This Row],[Country]],"|",Table1[[#This Row],[date_text]])</f>
        <v>MT119552|Yar-130|Mn|Guinea|2015-11-16</v>
      </c>
      <c r="C240" s="2" t="s">
        <v>1359</v>
      </c>
      <c r="D240" s="2" t="str">
        <f>IF(ISNUMBER(MATCH(B240,finalSelection!$A$1:$A$497,0)),"yes","no")</f>
        <v>yes</v>
      </c>
      <c r="E240" s="2" t="s">
        <v>1005</v>
      </c>
      <c r="F240" s="2" t="s">
        <v>679</v>
      </c>
      <c r="H240" s="2" t="s">
        <v>680</v>
      </c>
      <c r="I240" s="2" t="s">
        <v>36</v>
      </c>
      <c r="J240" s="2" t="s">
        <v>37</v>
      </c>
      <c r="K240" s="2" t="s">
        <v>38</v>
      </c>
      <c r="L240" s="2" t="s">
        <v>37</v>
      </c>
      <c r="M240" s="2" t="str">
        <f>VLOOKUP(C240,seqConcatenated!$A$1:$B$124,2, FALSE)</f>
        <v>MT119552 and MT119636 are merged</v>
      </c>
      <c r="N240" s="2" t="str">
        <f>IF(ISNA(Table1[[#This Row],[Column2]]),Table1[[#This Row],[comments2]], IF(O240="NA",M240,_xlfn.CONCAT(O240,"--",M240)))</f>
        <v>MT119552 and MT119636 are merged</v>
      </c>
      <c r="O240" s="2" t="s">
        <v>39</v>
      </c>
      <c r="P240" s="2" t="s">
        <v>40</v>
      </c>
      <c r="Q240" s="2" t="s">
        <v>41</v>
      </c>
      <c r="S240" s="2" t="s">
        <v>42</v>
      </c>
      <c r="T240" s="2" t="s">
        <v>43</v>
      </c>
      <c r="U240" s="2" t="s">
        <v>44</v>
      </c>
      <c r="V240" s="2" t="s">
        <v>45</v>
      </c>
      <c r="W240" s="2">
        <v>888</v>
      </c>
      <c r="X240" s="2" t="s">
        <v>46</v>
      </c>
      <c r="Y240" s="2" t="s">
        <v>47</v>
      </c>
      <c r="AA240" s="2" t="s">
        <v>48</v>
      </c>
      <c r="AB240" s="2">
        <v>1</v>
      </c>
      <c r="AC240" s="2" t="s">
        <v>675</v>
      </c>
      <c r="AD240" s="2" t="s">
        <v>50</v>
      </c>
      <c r="AE240" s="4">
        <v>9.9544499999999996</v>
      </c>
      <c r="AF240" s="4">
        <v>-10.7318833</v>
      </c>
      <c r="AG240" s="2" t="s">
        <v>51</v>
      </c>
      <c r="AI240" s="2" t="s">
        <v>52</v>
      </c>
      <c r="AJ240" s="2" t="str">
        <f>IF(Table1[[#This Row],[Host]]="Mastomys natalensis", "Mn", IF(Table1[[#This Row],[Host]]="Homo Sapiens","Human","PROBLEMMEMEMMEMEMEMM"))</f>
        <v>Mn</v>
      </c>
      <c r="AK240" s="2" t="s">
        <v>53</v>
      </c>
      <c r="AL240" s="5">
        <v>42324</v>
      </c>
      <c r="AM240" s="6" t="s">
        <v>1095</v>
      </c>
      <c r="AO240" s="2" t="s">
        <v>681</v>
      </c>
    </row>
    <row r="241" spans="1:41" x14ac:dyDescent="0.3">
      <c r="A241" s="2">
        <v>177</v>
      </c>
      <c r="B241" s="2" t="str">
        <f>_xlfn.CONCAT(Table1[[#This Row],[Acession_no_.1]],"|",Table1[[#This Row],[Strain name]],"|",Table1[[#This Row],[host_simple]],"|",Table1[[#This Row],[Country]],"|",Table1[[#This Row],[date_text]])</f>
        <v>MT119636|Yar-130|Mn|Guinea|2015-11-16</v>
      </c>
      <c r="C241" s="2" t="s">
        <v>1359</v>
      </c>
      <c r="D241" s="2" t="str">
        <f>IF(ISNUMBER(MATCH(B241,finalSelection!$A$1:$A$497,0)),"yes","no")</f>
        <v>no</v>
      </c>
      <c r="E241" s="2" t="s">
        <v>1006</v>
      </c>
      <c r="F241" s="2" t="s">
        <v>682</v>
      </c>
      <c r="H241" s="2" t="s">
        <v>680</v>
      </c>
      <c r="I241" s="2" t="s">
        <v>56</v>
      </c>
      <c r="J241" s="2" t="s">
        <v>37</v>
      </c>
      <c r="K241" s="2" t="s">
        <v>38</v>
      </c>
      <c r="L241" s="2" t="s">
        <v>37</v>
      </c>
      <c r="M241" s="2" t="str">
        <f>VLOOKUP(C241,seqConcatenated!$A$1:$B$124,2, FALSE)</f>
        <v>MT119552 and MT119636 are merged</v>
      </c>
      <c r="N241" s="2" t="str">
        <f>IF(ISNA(Table1[[#This Row],[Column2]]),Table1[[#This Row],[comments2]], IF(O241="NA",M241,_xlfn.CONCAT(O241,"--",M241)))</f>
        <v>MT119552 and MT119636 are merged</v>
      </c>
      <c r="O241" s="2" t="s">
        <v>39</v>
      </c>
      <c r="P241" s="2" t="s">
        <v>40</v>
      </c>
      <c r="Q241" s="2" t="s">
        <v>41</v>
      </c>
      <c r="S241" s="2" t="s">
        <v>42</v>
      </c>
      <c r="T241" s="2" t="s">
        <v>43</v>
      </c>
      <c r="U241" s="2" t="s">
        <v>44</v>
      </c>
      <c r="V241" s="2" t="s">
        <v>45</v>
      </c>
      <c r="W241" s="2">
        <v>735</v>
      </c>
      <c r="X241" s="2" t="s">
        <v>46</v>
      </c>
      <c r="Y241" s="2" t="s">
        <v>47</v>
      </c>
      <c r="AA241" s="2" t="s">
        <v>48</v>
      </c>
      <c r="AB241" s="2">
        <v>1</v>
      </c>
      <c r="AC241" s="2" t="s">
        <v>675</v>
      </c>
      <c r="AD241" s="2" t="s">
        <v>50</v>
      </c>
      <c r="AE241" s="4">
        <v>9.9544499999999996</v>
      </c>
      <c r="AF241" s="4">
        <v>-10.7318833</v>
      </c>
      <c r="AG241" s="2" t="s">
        <v>51</v>
      </c>
      <c r="AI241" s="2" t="s">
        <v>52</v>
      </c>
      <c r="AJ241" s="2" t="str">
        <f>IF(Table1[[#This Row],[Host]]="Mastomys natalensis", "Mn", IF(Table1[[#This Row],[Host]]="Homo Sapiens","Human","PROBLEMMEMEMMEMEMEMM"))</f>
        <v>Mn</v>
      </c>
      <c r="AK241" s="2" t="s">
        <v>53</v>
      </c>
      <c r="AL241" s="5">
        <v>42324</v>
      </c>
      <c r="AM241" s="6" t="s">
        <v>1095</v>
      </c>
      <c r="AO241" s="2" t="s">
        <v>683</v>
      </c>
    </row>
    <row r="242" spans="1:41" x14ac:dyDescent="0.3">
      <c r="A242" s="2">
        <v>94</v>
      </c>
      <c r="B242" s="2" t="str">
        <f>_xlfn.CONCAT(Table1[[#This Row],[Acession_no_.1]],"|",Table1[[#This Row],[Strain name]],"|",Table1[[#This Row],[host_simple]],"|",Table1[[#This Row],[Country]],"|",Table1[[#This Row],[date_text]])</f>
        <v>MT119553|Yar-151|Mn|Guinea|2015-11-17</v>
      </c>
      <c r="C242" s="2" t="s">
        <v>1360</v>
      </c>
      <c r="D242" s="2" t="str">
        <f>IF(ISNUMBER(MATCH(B242,finalSelection!$A$1:$A$497,0)),"yes","no")</f>
        <v>no</v>
      </c>
      <c r="E242" s="2" t="s">
        <v>1007</v>
      </c>
      <c r="F242" s="2" t="s">
        <v>684</v>
      </c>
      <c r="H242" s="2" t="s">
        <v>685</v>
      </c>
      <c r="I242" s="2" t="s">
        <v>36</v>
      </c>
      <c r="J242" s="2" t="s">
        <v>37</v>
      </c>
      <c r="K242" s="2" t="s">
        <v>38</v>
      </c>
      <c r="L242" s="2" t="s">
        <v>37</v>
      </c>
      <c r="M242" s="2" t="str">
        <f>VLOOKUP(C242,seqConcatenated!$A$1:$B$124,2, FALSE)</f>
        <v>MT119553 and MT119637 are merged</v>
      </c>
      <c r="N242" s="2" t="str">
        <f>IF(ISNA(Table1[[#This Row],[Column2]]),Table1[[#This Row],[comments2]], IF(O242="NA",M242,_xlfn.CONCAT(O242,"--",M242)))</f>
        <v>MT119553 and MT119637 are merged</v>
      </c>
      <c r="O242" s="2" t="s">
        <v>39</v>
      </c>
      <c r="P242" s="2" t="s">
        <v>40</v>
      </c>
      <c r="Q242" s="2" t="s">
        <v>41</v>
      </c>
      <c r="S242" s="2" t="s">
        <v>42</v>
      </c>
      <c r="T242" s="2" t="s">
        <v>43</v>
      </c>
      <c r="U242" s="2" t="s">
        <v>44</v>
      </c>
      <c r="V242" s="2" t="s">
        <v>45</v>
      </c>
      <c r="W242" s="2">
        <v>888</v>
      </c>
      <c r="X242" s="2" t="s">
        <v>46</v>
      </c>
      <c r="Y242" s="2" t="s">
        <v>47</v>
      </c>
      <c r="AA242" s="2" t="s">
        <v>48</v>
      </c>
      <c r="AB242" s="2">
        <v>1</v>
      </c>
      <c r="AC242" s="2" t="s">
        <v>675</v>
      </c>
      <c r="AD242" s="2" t="s">
        <v>50</v>
      </c>
      <c r="AE242" s="4">
        <v>9.9544499999999996</v>
      </c>
      <c r="AF242" s="4">
        <v>-10.7318833</v>
      </c>
      <c r="AG242" s="2" t="s">
        <v>51</v>
      </c>
      <c r="AI242" s="2" t="s">
        <v>52</v>
      </c>
      <c r="AJ242" s="2" t="str">
        <f>IF(Table1[[#This Row],[Host]]="Mastomys natalensis", "Mn", IF(Table1[[#This Row],[Host]]="Homo Sapiens","Human","PROBLEMMEMEMMEMEMEMM"))</f>
        <v>Mn</v>
      </c>
      <c r="AK242" s="2" t="s">
        <v>53</v>
      </c>
      <c r="AL242" s="5">
        <v>42325</v>
      </c>
      <c r="AM242" s="6" t="s">
        <v>1096</v>
      </c>
      <c r="AO242" s="2" t="s">
        <v>686</v>
      </c>
    </row>
    <row r="243" spans="1:41" x14ac:dyDescent="0.3">
      <c r="A243" s="2">
        <v>178</v>
      </c>
      <c r="B243" s="2" t="str">
        <f>_xlfn.CONCAT(Table1[[#This Row],[Acession_no_.1]],"|",Table1[[#This Row],[Strain name]],"|",Table1[[#This Row],[host_simple]],"|",Table1[[#This Row],[Country]],"|",Table1[[#This Row],[date_text]])</f>
        <v>MT119637|Yar-151|Mn|Guinea|2015-11-17</v>
      </c>
      <c r="C243" s="2" t="s">
        <v>1360</v>
      </c>
      <c r="D243" s="2" t="str">
        <f>IF(ISNUMBER(MATCH(B243,finalSelection!$A$1:$A$497,0)),"yes","no")</f>
        <v>no</v>
      </c>
      <c r="E243" s="2" t="s">
        <v>1008</v>
      </c>
      <c r="F243" s="2" t="s">
        <v>687</v>
      </c>
      <c r="H243" s="2" t="s">
        <v>685</v>
      </c>
      <c r="I243" s="2" t="s">
        <v>56</v>
      </c>
      <c r="J243" s="2" t="s">
        <v>37</v>
      </c>
      <c r="K243" s="2" t="s">
        <v>38</v>
      </c>
      <c r="L243" s="2" t="s">
        <v>37</v>
      </c>
      <c r="M243" s="2" t="str">
        <f>VLOOKUP(C243,seqConcatenated!$A$1:$B$124,2, FALSE)</f>
        <v>MT119553 and MT119637 are merged</v>
      </c>
      <c r="N243" s="2" t="str">
        <f>IF(ISNA(Table1[[#This Row],[Column2]]),Table1[[#This Row],[comments2]], IF(O243="NA",M243,_xlfn.CONCAT(O243,"--",M243)))</f>
        <v>MT119553 and MT119637 are merged</v>
      </c>
      <c r="O243" s="2" t="s">
        <v>39</v>
      </c>
      <c r="P243" s="2" t="s">
        <v>40</v>
      </c>
      <c r="Q243" s="2" t="s">
        <v>41</v>
      </c>
      <c r="S243" s="2" t="s">
        <v>42</v>
      </c>
      <c r="T243" s="2" t="s">
        <v>43</v>
      </c>
      <c r="U243" s="2" t="s">
        <v>44</v>
      </c>
      <c r="V243" s="2" t="s">
        <v>45</v>
      </c>
      <c r="W243" s="2">
        <v>735</v>
      </c>
      <c r="X243" s="2" t="s">
        <v>46</v>
      </c>
      <c r="Y243" s="2" t="s">
        <v>47</v>
      </c>
      <c r="AA243" s="2" t="s">
        <v>48</v>
      </c>
      <c r="AB243" s="2">
        <v>1</v>
      </c>
      <c r="AC243" s="2" t="s">
        <v>675</v>
      </c>
      <c r="AD243" s="2" t="s">
        <v>50</v>
      </c>
      <c r="AE243" s="4">
        <v>9.9544499999999996</v>
      </c>
      <c r="AF243" s="4">
        <v>-10.7318833</v>
      </c>
      <c r="AG243" s="2" t="s">
        <v>51</v>
      </c>
      <c r="AI243" s="2" t="s">
        <v>52</v>
      </c>
      <c r="AJ243" s="2" t="str">
        <f>IF(Table1[[#This Row],[Host]]="Mastomys natalensis", "Mn", IF(Table1[[#This Row],[Host]]="Homo Sapiens","Human","PROBLEMMEMEMMEMEMEMM"))</f>
        <v>Mn</v>
      </c>
      <c r="AK243" s="2" t="s">
        <v>53</v>
      </c>
      <c r="AL243" s="5">
        <v>42325</v>
      </c>
      <c r="AM243" s="6" t="s">
        <v>1096</v>
      </c>
      <c r="AO243" s="2" t="s">
        <v>688</v>
      </c>
    </row>
    <row r="244" spans="1:41" x14ac:dyDescent="0.3">
      <c r="A244" s="2">
        <v>89</v>
      </c>
      <c r="B244" s="2" t="str">
        <f>_xlfn.CONCAT(Table1[[#This Row],[Acession_no_.1]],"|",Table1[[#This Row],[Strain name]],"|",Table1[[#This Row],[host_simple]],"|",Table1[[#This Row],[Country]],"|",Table1[[#This Row],[date_text]])</f>
        <v>MT119548|Yar-17|Mn|Guinea|2013-11-20</v>
      </c>
      <c r="C244" s="2" t="s">
        <v>1361</v>
      </c>
      <c r="D244" s="2" t="str">
        <f>IF(ISNUMBER(MATCH(B244,finalSelection!$A$1:$A$497,0)),"yes","no")</f>
        <v>no</v>
      </c>
      <c r="E244" s="2" t="s">
        <v>1009</v>
      </c>
      <c r="F244" s="2" t="s">
        <v>689</v>
      </c>
      <c r="H244" s="2" t="s">
        <v>690</v>
      </c>
      <c r="I244" s="2" t="s">
        <v>36</v>
      </c>
      <c r="J244" s="2" t="s">
        <v>37</v>
      </c>
      <c r="K244" s="2" t="s">
        <v>38</v>
      </c>
      <c r="L244" s="2" t="s">
        <v>37</v>
      </c>
      <c r="M244" s="2" t="e">
        <f>VLOOKUP(C244,seqConcatenated!$A$1:$B$124,2, FALSE)</f>
        <v>#N/A</v>
      </c>
      <c r="N244" s="2" t="str">
        <f>IF(ISNA(Table1[[#This Row],[Column2]]),Table1[[#This Row],[comments2]], IF(O244="NA",M244,_xlfn.CONCAT(O244,"--",M244)))</f>
        <v>NA</v>
      </c>
      <c r="O244" s="2" t="s">
        <v>39</v>
      </c>
      <c r="P244" s="2" t="s">
        <v>40</v>
      </c>
      <c r="Q244" s="2" t="s">
        <v>41</v>
      </c>
      <c r="S244" s="2" t="s">
        <v>42</v>
      </c>
      <c r="T244" s="2" t="s">
        <v>43</v>
      </c>
      <c r="U244" s="2" t="s">
        <v>44</v>
      </c>
      <c r="V244" s="2" t="s">
        <v>45</v>
      </c>
      <c r="W244" s="2">
        <v>888</v>
      </c>
      <c r="X244" s="2" t="s">
        <v>46</v>
      </c>
      <c r="Y244" s="2" t="s">
        <v>47</v>
      </c>
      <c r="AA244" s="2" t="s">
        <v>48</v>
      </c>
      <c r="AB244" s="2">
        <v>1</v>
      </c>
      <c r="AC244" s="2" t="s">
        <v>675</v>
      </c>
      <c r="AD244" s="2" t="s">
        <v>50</v>
      </c>
      <c r="AE244" s="4">
        <v>9.9544499999999996</v>
      </c>
      <c r="AF244" s="4">
        <v>-10.7318833</v>
      </c>
      <c r="AG244" s="2" t="s">
        <v>51</v>
      </c>
      <c r="AI244" s="2" t="s">
        <v>52</v>
      </c>
      <c r="AJ244" s="2" t="str">
        <f>IF(Table1[[#This Row],[Host]]="Mastomys natalensis", "Mn", IF(Table1[[#This Row],[Host]]="Homo Sapiens","Human","PROBLEMMEMEMMEMEMEMM"))</f>
        <v>Mn</v>
      </c>
      <c r="AK244" s="2" t="s">
        <v>53</v>
      </c>
      <c r="AL244" s="5">
        <v>41598</v>
      </c>
      <c r="AM244" s="6" t="s">
        <v>1094</v>
      </c>
      <c r="AO244" s="2" t="s">
        <v>691</v>
      </c>
    </row>
    <row r="245" spans="1:41" x14ac:dyDescent="0.3">
      <c r="A245" s="2">
        <v>95</v>
      </c>
      <c r="B245" s="2" t="str">
        <f>_xlfn.CONCAT(Table1[[#This Row],[Acession_no_.1]],"|",Table1[[#This Row],[Strain name]],"|",Table1[[#This Row],[host_simple]],"|",Table1[[#This Row],[Country]],"|",Table1[[#This Row],[date_text]])</f>
        <v>MT119554|Yar-185|Mn|Guinea|2016-11-20</v>
      </c>
      <c r="C245" s="2" t="s">
        <v>1362</v>
      </c>
      <c r="D245" s="2" t="str">
        <f>IF(ISNUMBER(MATCH(B245,finalSelection!$A$1:$A$497,0)),"yes","no")</f>
        <v>yes</v>
      </c>
      <c r="E245" s="2" t="s">
        <v>1010</v>
      </c>
      <c r="F245" s="2" t="s">
        <v>692</v>
      </c>
      <c r="H245" s="2" t="s">
        <v>693</v>
      </c>
      <c r="I245" s="2" t="s">
        <v>36</v>
      </c>
      <c r="J245" s="2" t="s">
        <v>37</v>
      </c>
      <c r="K245" s="2" t="s">
        <v>38</v>
      </c>
      <c r="L245" s="2" t="s">
        <v>37</v>
      </c>
      <c r="M245" s="2" t="str">
        <f>VLOOKUP(C245,seqConcatenated!$A$1:$B$124,2, FALSE)</f>
        <v>MT119554 and MT119638 are merged</v>
      </c>
      <c r="N245" s="2" t="str">
        <f>IF(ISNA(Table1[[#This Row],[Column2]]),Table1[[#This Row],[comments2]], IF(O245="NA",M245,_xlfn.CONCAT(O245,"--",M245)))</f>
        <v>MT119554 and MT119638 are merged</v>
      </c>
      <c r="O245" s="2" t="s">
        <v>39</v>
      </c>
      <c r="P245" s="2" t="s">
        <v>40</v>
      </c>
      <c r="Q245" s="2" t="s">
        <v>41</v>
      </c>
      <c r="S245" s="2" t="s">
        <v>42</v>
      </c>
      <c r="T245" s="2" t="s">
        <v>43</v>
      </c>
      <c r="U245" s="2" t="s">
        <v>44</v>
      </c>
      <c r="V245" s="2" t="s">
        <v>45</v>
      </c>
      <c r="W245" s="2">
        <v>888</v>
      </c>
      <c r="X245" s="2" t="s">
        <v>46</v>
      </c>
      <c r="Y245" s="2" t="s">
        <v>47</v>
      </c>
      <c r="AA245" s="2" t="s">
        <v>48</v>
      </c>
      <c r="AB245" s="2">
        <v>1</v>
      </c>
      <c r="AC245" s="2" t="s">
        <v>675</v>
      </c>
      <c r="AD245" s="2" t="s">
        <v>50</v>
      </c>
      <c r="AE245" s="4">
        <v>9.9544499999999996</v>
      </c>
      <c r="AF245" s="4">
        <v>-10.7318833</v>
      </c>
      <c r="AG245" s="2" t="s">
        <v>51</v>
      </c>
      <c r="AI245" s="2" t="s">
        <v>52</v>
      </c>
      <c r="AJ245" s="2" t="str">
        <f>IF(Table1[[#This Row],[Host]]="Mastomys natalensis", "Mn", IF(Table1[[#This Row],[Host]]="Homo Sapiens","Human","PROBLEMMEMEMMEMEMEMM"))</f>
        <v>Mn</v>
      </c>
      <c r="AK245" s="2" t="s">
        <v>53</v>
      </c>
      <c r="AL245" s="5">
        <v>42694</v>
      </c>
      <c r="AM245" s="6" t="s">
        <v>1097</v>
      </c>
      <c r="AO245" s="2" t="s">
        <v>694</v>
      </c>
    </row>
    <row r="246" spans="1:41" x14ac:dyDescent="0.3">
      <c r="A246" s="2">
        <v>179</v>
      </c>
      <c r="B246" s="2" t="str">
        <f>_xlfn.CONCAT(Table1[[#This Row],[Acession_no_.1]],"|",Table1[[#This Row],[Strain name]],"|",Table1[[#This Row],[host_simple]],"|",Table1[[#This Row],[Country]],"|",Table1[[#This Row],[date_text]])</f>
        <v>MT119638|Yar-185|Mn|Guinea|2016-11-20</v>
      </c>
      <c r="C246" s="2" t="s">
        <v>1362</v>
      </c>
      <c r="D246" s="2" t="str">
        <f>IF(ISNUMBER(MATCH(B246,finalSelection!$A$1:$A$497,0)),"yes","no")</f>
        <v>no</v>
      </c>
      <c r="E246" s="2" t="s">
        <v>1011</v>
      </c>
      <c r="F246" s="2" t="s">
        <v>695</v>
      </c>
      <c r="H246" s="2" t="s">
        <v>693</v>
      </c>
      <c r="I246" s="2" t="s">
        <v>56</v>
      </c>
      <c r="J246" s="2" t="s">
        <v>37</v>
      </c>
      <c r="K246" s="2" t="s">
        <v>38</v>
      </c>
      <c r="L246" s="2" t="s">
        <v>37</v>
      </c>
      <c r="M246" s="2" t="str">
        <f>VLOOKUP(C246,seqConcatenated!$A$1:$B$124,2, FALSE)</f>
        <v>MT119554 and MT119638 are merged</v>
      </c>
      <c r="N246" s="2" t="str">
        <f>IF(ISNA(Table1[[#This Row],[Column2]]),Table1[[#This Row],[comments2]], IF(O246="NA",M246,_xlfn.CONCAT(O246,"--",M246)))</f>
        <v>MT119554 and MT119638 are merged</v>
      </c>
      <c r="O246" s="2" t="s">
        <v>39</v>
      </c>
      <c r="P246" s="2" t="s">
        <v>40</v>
      </c>
      <c r="Q246" s="2" t="s">
        <v>41</v>
      </c>
      <c r="S246" s="2" t="s">
        <v>42</v>
      </c>
      <c r="T246" s="2" t="s">
        <v>43</v>
      </c>
      <c r="U246" s="2" t="s">
        <v>44</v>
      </c>
      <c r="V246" s="2" t="s">
        <v>45</v>
      </c>
      <c r="W246" s="2">
        <v>735</v>
      </c>
      <c r="X246" s="2" t="s">
        <v>46</v>
      </c>
      <c r="Y246" s="2" t="s">
        <v>47</v>
      </c>
      <c r="AA246" s="2" t="s">
        <v>48</v>
      </c>
      <c r="AB246" s="2">
        <v>1</v>
      </c>
      <c r="AC246" s="2" t="s">
        <v>675</v>
      </c>
      <c r="AD246" s="2" t="s">
        <v>50</v>
      </c>
      <c r="AE246" s="4">
        <v>9.9544499999999996</v>
      </c>
      <c r="AF246" s="4">
        <v>-10.7318833</v>
      </c>
      <c r="AG246" s="2" t="s">
        <v>51</v>
      </c>
      <c r="AI246" s="2" t="s">
        <v>52</v>
      </c>
      <c r="AJ246" s="2" t="str">
        <f>IF(Table1[[#This Row],[Host]]="Mastomys natalensis", "Mn", IF(Table1[[#This Row],[Host]]="Homo Sapiens","Human","PROBLEMMEMEMMEMEMEMM"))</f>
        <v>Mn</v>
      </c>
      <c r="AK246" s="2" t="s">
        <v>53</v>
      </c>
      <c r="AL246" s="5">
        <v>42694</v>
      </c>
      <c r="AM246" s="6" t="s">
        <v>1097</v>
      </c>
      <c r="AO246" s="2" t="s">
        <v>696</v>
      </c>
    </row>
    <row r="247" spans="1:41" x14ac:dyDescent="0.3">
      <c r="A247" s="2">
        <v>96</v>
      </c>
      <c r="B247" s="2" t="str">
        <f>_xlfn.CONCAT(Table1[[#This Row],[Acession_no_.1]],"|",Table1[[#This Row],[Strain name]],"|",Table1[[#This Row],[host_simple]],"|",Table1[[#This Row],[Country]],"|",Table1[[#This Row],[date_text]])</f>
        <v>MT119555|Yar-194|Mn|Guinea|2016-11-20</v>
      </c>
      <c r="C247" s="2" t="s">
        <v>1363</v>
      </c>
      <c r="D247" s="2" t="str">
        <f>IF(ISNUMBER(MATCH(B247,finalSelection!$A$1:$A$497,0)),"yes","no")</f>
        <v>yes</v>
      </c>
      <c r="E247" s="2" t="s">
        <v>1012</v>
      </c>
      <c r="F247" s="2" t="s">
        <v>697</v>
      </c>
      <c r="H247" s="2" t="s">
        <v>698</v>
      </c>
      <c r="I247" s="2" t="s">
        <v>36</v>
      </c>
      <c r="J247" s="2" t="s">
        <v>37</v>
      </c>
      <c r="K247" s="2" t="s">
        <v>38</v>
      </c>
      <c r="L247" s="2" t="s">
        <v>37</v>
      </c>
      <c r="M247" s="2" t="str">
        <f>VLOOKUP(C247,seqConcatenated!$A$1:$B$124,2, FALSE)</f>
        <v>MT119555 and MT119639 are merged</v>
      </c>
      <c r="N247" s="2" t="str">
        <f>IF(ISNA(Table1[[#This Row],[Column2]]),Table1[[#This Row],[comments2]], IF(O247="NA",M247,_xlfn.CONCAT(O247,"--",M247)))</f>
        <v>MT119555 and MT119639 are merged</v>
      </c>
      <c r="O247" s="2" t="s">
        <v>39</v>
      </c>
      <c r="P247" s="2" t="s">
        <v>40</v>
      </c>
      <c r="Q247" s="2" t="s">
        <v>41</v>
      </c>
      <c r="S247" s="2" t="s">
        <v>42</v>
      </c>
      <c r="T247" s="2" t="s">
        <v>43</v>
      </c>
      <c r="U247" s="2" t="s">
        <v>44</v>
      </c>
      <c r="V247" s="2" t="s">
        <v>45</v>
      </c>
      <c r="W247" s="2">
        <v>888</v>
      </c>
      <c r="X247" s="2" t="s">
        <v>46</v>
      </c>
      <c r="Y247" s="2" t="s">
        <v>47</v>
      </c>
      <c r="AA247" s="2" t="s">
        <v>48</v>
      </c>
      <c r="AB247" s="2">
        <v>1</v>
      </c>
      <c r="AC247" s="2" t="s">
        <v>675</v>
      </c>
      <c r="AD247" s="2" t="s">
        <v>50</v>
      </c>
      <c r="AE247" s="4">
        <v>9.9544499999999996</v>
      </c>
      <c r="AF247" s="4">
        <v>-10.7318833</v>
      </c>
      <c r="AG247" s="2" t="s">
        <v>51</v>
      </c>
      <c r="AI247" s="2" t="s">
        <v>52</v>
      </c>
      <c r="AJ247" s="2" t="str">
        <f>IF(Table1[[#This Row],[Host]]="Mastomys natalensis", "Mn", IF(Table1[[#This Row],[Host]]="Homo Sapiens","Human","PROBLEMMEMEMMEMEMEMM"))</f>
        <v>Mn</v>
      </c>
      <c r="AK247" s="2" t="s">
        <v>53</v>
      </c>
      <c r="AL247" s="5">
        <v>42694</v>
      </c>
      <c r="AM247" s="6" t="s">
        <v>1097</v>
      </c>
      <c r="AO247" s="2" t="s">
        <v>699</v>
      </c>
    </row>
    <row r="248" spans="1:41" x14ac:dyDescent="0.3">
      <c r="A248" s="2">
        <v>180</v>
      </c>
      <c r="B248" s="2" t="str">
        <f>_xlfn.CONCAT(Table1[[#This Row],[Acession_no_.1]],"|",Table1[[#This Row],[Strain name]],"|",Table1[[#This Row],[host_simple]],"|",Table1[[#This Row],[Country]],"|",Table1[[#This Row],[date_text]])</f>
        <v>MT119639|Yar-194|Mn|Guinea|2016-11-20</v>
      </c>
      <c r="C248" s="2" t="s">
        <v>1363</v>
      </c>
      <c r="D248" s="2" t="str">
        <f>IF(ISNUMBER(MATCH(B248,finalSelection!$A$1:$A$497,0)),"yes","no")</f>
        <v>no</v>
      </c>
      <c r="E248" s="2" t="s">
        <v>1013</v>
      </c>
      <c r="F248" s="2" t="s">
        <v>700</v>
      </c>
      <c r="H248" s="2" t="s">
        <v>698</v>
      </c>
      <c r="I248" s="2" t="s">
        <v>56</v>
      </c>
      <c r="J248" s="2" t="s">
        <v>37</v>
      </c>
      <c r="K248" s="2" t="s">
        <v>38</v>
      </c>
      <c r="L248" s="2" t="s">
        <v>37</v>
      </c>
      <c r="M248" s="2" t="str">
        <f>VLOOKUP(C248,seqConcatenated!$A$1:$B$124,2, FALSE)</f>
        <v>MT119555 and MT119639 are merged</v>
      </c>
      <c r="N248" s="2" t="str">
        <f>IF(ISNA(Table1[[#This Row],[Column2]]),Table1[[#This Row],[comments2]], IF(O248="NA",M248,_xlfn.CONCAT(O248,"--",M248)))</f>
        <v>MT119555 and MT119639 are merged</v>
      </c>
      <c r="O248" s="2" t="s">
        <v>39</v>
      </c>
      <c r="P248" s="2" t="s">
        <v>40</v>
      </c>
      <c r="Q248" s="2" t="s">
        <v>41</v>
      </c>
      <c r="S248" s="2" t="s">
        <v>42</v>
      </c>
      <c r="T248" s="2" t="s">
        <v>43</v>
      </c>
      <c r="U248" s="2" t="s">
        <v>44</v>
      </c>
      <c r="V248" s="2" t="s">
        <v>45</v>
      </c>
      <c r="W248" s="2">
        <v>735</v>
      </c>
      <c r="X248" s="2" t="s">
        <v>46</v>
      </c>
      <c r="Y248" s="2" t="s">
        <v>47</v>
      </c>
      <c r="AA248" s="2" t="s">
        <v>48</v>
      </c>
      <c r="AB248" s="2">
        <v>1</v>
      </c>
      <c r="AC248" s="2" t="s">
        <v>675</v>
      </c>
      <c r="AD248" s="2" t="s">
        <v>50</v>
      </c>
      <c r="AE248" s="4">
        <v>9.9544499999999996</v>
      </c>
      <c r="AF248" s="4">
        <v>-10.7318833</v>
      </c>
      <c r="AG248" s="2" t="s">
        <v>51</v>
      </c>
      <c r="AI248" s="2" t="s">
        <v>52</v>
      </c>
      <c r="AJ248" s="2" t="str">
        <f>IF(Table1[[#This Row],[Host]]="Mastomys natalensis", "Mn", IF(Table1[[#This Row],[Host]]="Homo Sapiens","Human","PROBLEMMEMEMMEMEMEMM"))</f>
        <v>Mn</v>
      </c>
      <c r="AK248" s="2" t="s">
        <v>53</v>
      </c>
      <c r="AL248" s="5">
        <v>42694</v>
      </c>
      <c r="AM248" s="6" t="s">
        <v>1097</v>
      </c>
      <c r="AO248" s="2" t="s">
        <v>701</v>
      </c>
    </row>
    <row r="249" spans="1:41" x14ac:dyDescent="0.3">
      <c r="A249" s="2">
        <v>97</v>
      </c>
      <c r="B249" s="2" t="str">
        <f>_xlfn.CONCAT(Table1[[#This Row],[Acession_no_.1]],"|",Table1[[#This Row],[Strain name]],"|",Table1[[#This Row],[host_simple]],"|",Table1[[#This Row],[Country]],"|",Table1[[#This Row],[date_text]])</f>
        <v>MT119556|Yar-217|Mn|Guinea|2016-11-22</v>
      </c>
      <c r="C249" s="2" t="s">
        <v>1364</v>
      </c>
      <c r="D249" s="2" t="str">
        <f>IF(ISNUMBER(MATCH(B249,finalSelection!$A$1:$A$497,0)),"yes","no")</f>
        <v>yes</v>
      </c>
      <c r="E249" s="2" t="s">
        <v>1014</v>
      </c>
      <c r="F249" s="2" t="s">
        <v>702</v>
      </c>
      <c r="H249" s="2" t="s">
        <v>703</v>
      </c>
      <c r="I249" s="2" t="s">
        <v>36</v>
      </c>
      <c r="J249" s="2" t="s">
        <v>37</v>
      </c>
      <c r="K249" s="2" t="s">
        <v>38</v>
      </c>
      <c r="L249" s="2" t="s">
        <v>37</v>
      </c>
      <c r="M249" s="2" t="str">
        <f>VLOOKUP(C249,seqConcatenated!$A$1:$B$124,2, FALSE)</f>
        <v>MT119556 and MT119640 are merged</v>
      </c>
      <c r="N249" s="2" t="str">
        <f>IF(ISNA(Table1[[#This Row],[Column2]]),Table1[[#This Row],[comments2]], IF(O249="NA",M249,_xlfn.CONCAT(O249,"--",M249)))</f>
        <v>MT119556 and MT119640 are merged</v>
      </c>
      <c r="O249" s="2" t="s">
        <v>39</v>
      </c>
      <c r="P249" s="2" t="s">
        <v>40</v>
      </c>
      <c r="Q249" s="2" t="s">
        <v>41</v>
      </c>
      <c r="S249" s="2" t="s">
        <v>42</v>
      </c>
      <c r="T249" s="2" t="s">
        <v>43</v>
      </c>
      <c r="U249" s="2" t="s">
        <v>44</v>
      </c>
      <c r="V249" s="2" t="s">
        <v>45</v>
      </c>
      <c r="W249" s="2">
        <v>861</v>
      </c>
      <c r="X249" s="2" t="s">
        <v>46</v>
      </c>
      <c r="Y249" s="2" t="s">
        <v>47</v>
      </c>
      <c r="AA249" s="2" t="s">
        <v>48</v>
      </c>
      <c r="AB249" s="2">
        <v>1</v>
      </c>
      <c r="AC249" s="2" t="s">
        <v>675</v>
      </c>
      <c r="AD249" s="2" t="s">
        <v>50</v>
      </c>
      <c r="AE249" s="4">
        <v>9.9544499999999996</v>
      </c>
      <c r="AF249" s="4">
        <v>-10.7318833</v>
      </c>
      <c r="AG249" s="2" t="s">
        <v>51</v>
      </c>
      <c r="AI249" s="2" t="s">
        <v>52</v>
      </c>
      <c r="AJ249" s="2" t="str">
        <f>IF(Table1[[#This Row],[Host]]="Mastomys natalensis", "Mn", IF(Table1[[#This Row],[Host]]="Homo Sapiens","Human","PROBLEMMEMEMMEMEMEMM"))</f>
        <v>Mn</v>
      </c>
      <c r="AK249" s="2" t="s">
        <v>53</v>
      </c>
      <c r="AL249" s="5">
        <v>42696</v>
      </c>
      <c r="AM249" s="6" t="s">
        <v>1098</v>
      </c>
      <c r="AO249" s="2" t="s">
        <v>704</v>
      </c>
    </row>
    <row r="250" spans="1:41" x14ac:dyDescent="0.3">
      <c r="A250" s="2">
        <v>181</v>
      </c>
      <c r="B250" s="2" t="str">
        <f>_xlfn.CONCAT(Table1[[#This Row],[Acession_no_.1]],"|",Table1[[#This Row],[Strain name]],"|",Table1[[#This Row],[host_simple]],"|",Table1[[#This Row],[Country]],"|",Table1[[#This Row],[date_text]])</f>
        <v>MT119640|Yar-217|Mn|Guinea|2016-11-22</v>
      </c>
      <c r="C250" s="2" t="s">
        <v>1364</v>
      </c>
      <c r="D250" s="2" t="str">
        <f>IF(ISNUMBER(MATCH(B250,finalSelection!$A$1:$A$497,0)),"yes","no")</f>
        <v>no</v>
      </c>
      <c r="E250" s="2" t="s">
        <v>1015</v>
      </c>
      <c r="F250" s="2" t="s">
        <v>705</v>
      </c>
      <c r="H250" s="2" t="s">
        <v>703</v>
      </c>
      <c r="I250" s="2" t="s">
        <v>56</v>
      </c>
      <c r="J250" s="2" t="s">
        <v>37</v>
      </c>
      <c r="K250" s="2" t="s">
        <v>38</v>
      </c>
      <c r="L250" s="2" t="s">
        <v>37</v>
      </c>
      <c r="M250" s="2" t="str">
        <f>VLOOKUP(C250,seqConcatenated!$A$1:$B$124,2, FALSE)</f>
        <v>MT119556 and MT119640 are merged</v>
      </c>
      <c r="N250" s="2" t="str">
        <f>IF(ISNA(Table1[[#This Row],[Column2]]),Table1[[#This Row],[comments2]], IF(O250="NA",M250,_xlfn.CONCAT(O250,"--",M250)))</f>
        <v>MT119556 and MT119640 are merged</v>
      </c>
      <c r="O250" s="2" t="s">
        <v>39</v>
      </c>
      <c r="P250" s="2" t="s">
        <v>40</v>
      </c>
      <c r="Q250" s="2" t="s">
        <v>41</v>
      </c>
      <c r="S250" s="2" t="s">
        <v>42</v>
      </c>
      <c r="T250" s="2" t="s">
        <v>43</v>
      </c>
      <c r="U250" s="2" t="s">
        <v>44</v>
      </c>
      <c r="V250" s="2" t="s">
        <v>45</v>
      </c>
      <c r="W250" s="2">
        <v>735</v>
      </c>
      <c r="X250" s="2" t="s">
        <v>46</v>
      </c>
      <c r="Y250" s="2" t="s">
        <v>47</v>
      </c>
      <c r="AA250" s="2" t="s">
        <v>48</v>
      </c>
      <c r="AB250" s="2">
        <v>1</v>
      </c>
      <c r="AC250" s="2" t="s">
        <v>675</v>
      </c>
      <c r="AD250" s="2" t="s">
        <v>50</v>
      </c>
      <c r="AE250" s="4">
        <v>9.9544499999999996</v>
      </c>
      <c r="AF250" s="4">
        <v>-10.7318833</v>
      </c>
      <c r="AG250" s="2" t="s">
        <v>51</v>
      </c>
      <c r="AI250" s="2" t="s">
        <v>52</v>
      </c>
      <c r="AJ250" s="2" t="str">
        <f>IF(Table1[[#This Row],[Host]]="Mastomys natalensis", "Mn", IF(Table1[[#This Row],[Host]]="Homo Sapiens","Human","PROBLEMMEMEMMEMEMEMM"))</f>
        <v>Mn</v>
      </c>
      <c r="AK250" s="2" t="s">
        <v>53</v>
      </c>
      <c r="AL250" s="5">
        <v>42696</v>
      </c>
      <c r="AM250" s="6" t="s">
        <v>1098</v>
      </c>
      <c r="AO250" s="2" t="s">
        <v>706</v>
      </c>
    </row>
    <row r="251" spans="1:41" x14ac:dyDescent="0.3">
      <c r="A251" s="2">
        <v>90</v>
      </c>
      <c r="B251" s="2" t="str">
        <f>_xlfn.CONCAT(Table1[[#This Row],[Acession_no_.1]],"|",Table1[[#This Row],[Strain name]],"|",Table1[[#This Row],[host_simple]],"|",Table1[[#This Row],[Country]],"|",Table1[[#This Row],[date_text]])</f>
        <v>MT119549|Yar-33|Mn|Guinea|2013-11-21</v>
      </c>
      <c r="C251" s="2" t="s">
        <v>1365</v>
      </c>
      <c r="D251" s="2" t="str">
        <f>IF(ISNUMBER(MATCH(B251,finalSelection!$A$1:$A$497,0)),"yes","no")</f>
        <v>yes</v>
      </c>
      <c r="E251" s="2" t="s">
        <v>1016</v>
      </c>
      <c r="F251" s="2" t="s">
        <v>707</v>
      </c>
      <c r="H251" s="2" t="s">
        <v>708</v>
      </c>
      <c r="I251" s="2" t="s">
        <v>36</v>
      </c>
      <c r="J251" s="2" t="s">
        <v>37</v>
      </c>
      <c r="K251" s="2" t="s">
        <v>38</v>
      </c>
      <c r="L251" s="2" t="s">
        <v>37</v>
      </c>
      <c r="M251" s="2" t="str">
        <f>VLOOKUP(C251,seqConcatenated!$A$1:$B$124,2, FALSE)</f>
        <v>MT119549 and MT119633 are merged</v>
      </c>
      <c r="N251" s="2" t="str">
        <f>IF(ISNA(Table1[[#This Row],[Column2]]),Table1[[#This Row],[comments2]], IF(O251="NA",M251,_xlfn.CONCAT(O251,"--",M251)))</f>
        <v>MT119549 and MT119633 are merged</v>
      </c>
      <c r="O251" s="2" t="s">
        <v>39</v>
      </c>
      <c r="P251" s="2" t="s">
        <v>40</v>
      </c>
      <c r="Q251" s="2" t="s">
        <v>41</v>
      </c>
      <c r="S251" s="2" t="s">
        <v>42</v>
      </c>
      <c r="T251" s="2" t="s">
        <v>43</v>
      </c>
      <c r="U251" s="2" t="s">
        <v>44</v>
      </c>
      <c r="V251" s="2" t="s">
        <v>45</v>
      </c>
      <c r="W251" s="2">
        <v>888</v>
      </c>
      <c r="X251" s="2" t="s">
        <v>46</v>
      </c>
      <c r="Y251" s="2" t="s">
        <v>47</v>
      </c>
      <c r="AA251" s="2" t="s">
        <v>48</v>
      </c>
      <c r="AB251" s="2">
        <v>1</v>
      </c>
      <c r="AC251" s="2" t="s">
        <v>675</v>
      </c>
      <c r="AD251" s="2" t="s">
        <v>50</v>
      </c>
      <c r="AE251" s="4">
        <v>9.9544499999999996</v>
      </c>
      <c r="AF251" s="4">
        <v>-10.7318833</v>
      </c>
      <c r="AG251" s="2" t="s">
        <v>51</v>
      </c>
      <c r="AI251" s="2" t="s">
        <v>52</v>
      </c>
      <c r="AJ251" s="2" t="str">
        <f>IF(Table1[[#This Row],[Host]]="Mastomys natalensis", "Mn", IF(Table1[[#This Row],[Host]]="Homo Sapiens","Human","PROBLEMMEMEMMEMEMEMM"))</f>
        <v>Mn</v>
      </c>
      <c r="AK251" s="2" t="s">
        <v>53</v>
      </c>
      <c r="AL251" s="5">
        <v>41599</v>
      </c>
      <c r="AM251" s="6" t="s">
        <v>1099</v>
      </c>
      <c r="AO251" s="2" t="s">
        <v>709</v>
      </c>
    </row>
    <row r="252" spans="1:41" x14ac:dyDescent="0.3">
      <c r="A252" s="2">
        <v>174</v>
      </c>
      <c r="B252" s="2" t="str">
        <f>_xlfn.CONCAT(Table1[[#This Row],[Acession_no_.1]],"|",Table1[[#This Row],[Strain name]],"|",Table1[[#This Row],[host_simple]],"|",Table1[[#This Row],[Country]],"|",Table1[[#This Row],[date_text]])</f>
        <v>MT119633|Yar-33|Mn|Guinea|2013-11-21</v>
      </c>
      <c r="C252" s="2" t="s">
        <v>1365</v>
      </c>
      <c r="D252" s="2" t="str">
        <f>IF(ISNUMBER(MATCH(B252,finalSelection!$A$1:$A$497,0)),"yes","no")</f>
        <v>no</v>
      </c>
      <c r="E252" s="2" t="s">
        <v>1017</v>
      </c>
      <c r="F252" s="2" t="s">
        <v>710</v>
      </c>
      <c r="H252" s="2" t="s">
        <v>708</v>
      </c>
      <c r="I252" s="2" t="s">
        <v>56</v>
      </c>
      <c r="J252" s="2" t="s">
        <v>37</v>
      </c>
      <c r="K252" s="2" t="s">
        <v>38</v>
      </c>
      <c r="L252" s="2" t="s">
        <v>37</v>
      </c>
      <c r="M252" s="2" t="str">
        <f>VLOOKUP(C252,seqConcatenated!$A$1:$B$124,2, FALSE)</f>
        <v>MT119549 and MT119633 are merged</v>
      </c>
      <c r="N252" s="2" t="str">
        <f>IF(ISNA(Table1[[#This Row],[Column2]]),Table1[[#This Row],[comments2]], IF(O252="NA",M252,_xlfn.CONCAT(O252,"--",M252)))</f>
        <v>MT119549 and MT119633 are merged</v>
      </c>
      <c r="O252" s="2" t="s">
        <v>39</v>
      </c>
      <c r="P252" s="2" t="s">
        <v>40</v>
      </c>
      <c r="Q252" s="2" t="s">
        <v>41</v>
      </c>
      <c r="S252" s="2" t="s">
        <v>42</v>
      </c>
      <c r="T252" s="2" t="s">
        <v>43</v>
      </c>
      <c r="U252" s="2" t="s">
        <v>44</v>
      </c>
      <c r="V252" s="2" t="s">
        <v>45</v>
      </c>
      <c r="W252" s="2">
        <v>735</v>
      </c>
      <c r="X252" s="2" t="s">
        <v>46</v>
      </c>
      <c r="Y252" s="2" t="s">
        <v>47</v>
      </c>
      <c r="AA252" s="2" t="s">
        <v>48</v>
      </c>
      <c r="AB252" s="2">
        <v>1</v>
      </c>
      <c r="AC252" s="2" t="s">
        <v>675</v>
      </c>
      <c r="AD252" s="2" t="s">
        <v>50</v>
      </c>
      <c r="AE252" s="4">
        <v>9.9544499999999996</v>
      </c>
      <c r="AF252" s="4">
        <v>-10.7318833</v>
      </c>
      <c r="AG252" s="2" t="s">
        <v>51</v>
      </c>
      <c r="AI252" s="2" t="s">
        <v>52</v>
      </c>
      <c r="AJ252" s="2" t="str">
        <f>IF(Table1[[#This Row],[Host]]="Mastomys natalensis", "Mn", IF(Table1[[#This Row],[Host]]="Homo Sapiens","Human","PROBLEMMEMEMMEMEMEMM"))</f>
        <v>Mn</v>
      </c>
      <c r="AK252" s="2" t="s">
        <v>53</v>
      </c>
      <c r="AL252" s="5">
        <v>41599</v>
      </c>
      <c r="AM252" s="6" t="s">
        <v>1099</v>
      </c>
      <c r="AO252" s="2" t="s">
        <v>711</v>
      </c>
    </row>
    <row r="253" spans="1:41" x14ac:dyDescent="0.3">
      <c r="A253" s="2">
        <v>91</v>
      </c>
      <c r="B253" s="2" t="str">
        <f>_xlfn.CONCAT(Table1[[#This Row],[Acession_no_.1]],"|",Table1[[#This Row],[Strain name]],"|",Table1[[#This Row],[host_simple]],"|",Table1[[#This Row],[Country]],"|",Table1[[#This Row],[date_text]])</f>
        <v>MT119550|Yar-51|Mn|Guinea|2014-04-13</v>
      </c>
      <c r="C253" s="2" t="s">
        <v>1366</v>
      </c>
      <c r="D253" s="2" t="str">
        <f>IF(ISNUMBER(MATCH(B253,finalSelection!$A$1:$A$497,0)),"yes","no")</f>
        <v>yes</v>
      </c>
      <c r="E253" s="2" t="s">
        <v>1018</v>
      </c>
      <c r="F253" s="2" t="s">
        <v>712</v>
      </c>
      <c r="H253" s="2" t="s">
        <v>713</v>
      </c>
      <c r="I253" s="2" t="s">
        <v>36</v>
      </c>
      <c r="J253" s="2" t="s">
        <v>37</v>
      </c>
      <c r="K253" s="2" t="s">
        <v>38</v>
      </c>
      <c r="L253" s="2" t="s">
        <v>37</v>
      </c>
      <c r="M253" s="2" t="str">
        <f>VLOOKUP(C253,seqConcatenated!$A$1:$B$124,2, FALSE)</f>
        <v>MT119550 and MT119634 are merged</v>
      </c>
      <c r="N253" s="2" t="str">
        <f>IF(ISNA(Table1[[#This Row],[Column2]]),Table1[[#This Row],[comments2]], IF(O253="NA",M253,_xlfn.CONCAT(O253,"--",M253)))</f>
        <v>MT119550 and MT119634 are merged</v>
      </c>
      <c r="O253" s="2" t="s">
        <v>39</v>
      </c>
      <c r="P253" s="2" t="s">
        <v>40</v>
      </c>
      <c r="Q253" s="2" t="s">
        <v>41</v>
      </c>
      <c r="S253" s="2" t="s">
        <v>42</v>
      </c>
      <c r="T253" s="2" t="s">
        <v>43</v>
      </c>
      <c r="U253" s="2" t="s">
        <v>44</v>
      </c>
      <c r="V253" s="2" t="s">
        <v>45</v>
      </c>
      <c r="W253" s="2">
        <v>888</v>
      </c>
      <c r="X253" s="2" t="s">
        <v>46</v>
      </c>
      <c r="Y253" s="2" t="s">
        <v>47</v>
      </c>
      <c r="AA253" s="2" t="s">
        <v>48</v>
      </c>
      <c r="AB253" s="2">
        <v>1</v>
      </c>
      <c r="AC253" s="2" t="s">
        <v>675</v>
      </c>
      <c r="AD253" s="2" t="s">
        <v>50</v>
      </c>
      <c r="AE253" s="4">
        <v>9.9544499999999996</v>
      </c>
      <c r="AF253" s="4">
        <v>-10.7318833</v>
      </c>
      <c r="AG253" s="2" t="s">
        <v>51</v>
      </c>
      <c r="AI253" s="2" t="s">
        <v>52</v>
      </c>
      <c r="AJ253" s="2" t="str">
        <f>IF(Table1[[#This Row],[Host]]="Mastomys natalensis", "Mn", IF(Table1[[#This Row],[Host]]="Homo Sapiens","Human","PROBLEMMEMEMMEMEMEMM"))</f>
        <v>Mn</v>
      </c>
      <c r="AK253" s="2" t="s">
        <v>53</v>
      </c>
      <c r="AL253" s="5">
        <v>41742</v>
      </c>
      <c r="AM253" s="6" t="s">
        <v>1100</v>
      </c>
      <c r="AO253" s="2" t="s">
        <v>714</v>
      </c>
    </row>
    <row r="254" spans="1:41" x14ac:dyDescent="0.3">
      <c r="A254" s="2">
        <v>175</v>
      </c>
      <c r="B254" s="2" t="str">
        <f>_xlfn.CONCAT(Table1[[#This Row],[Acession_no_.1]],"|",Table1[[#This Row],[Strain name]],"|",Table1[[#This Row],[host_simple]],"|",Table1[[#This Row],[Country]],"|",Table1[[#This Row],[date_text]])</f>
        <v>MT119634|Yar-51|Mn|Guinea|2014-04-13</v>
      </c>
      <c r="C254" s="2" t="s">
        <v>1366</v>
      </c>
      <c r="D254" s="2" t="str">
        <f>IF(ISNUMBER(MATCH(B254,finalSelection!$A$1:$A$497,0)),"yes","no")</f>
        <v>no</v>
      </c>
      <c r="E254" s="2" t="s">
        <v>1019</v>
      </c>
      <c r="F254" s="2" t="s">
        <v>715</v>
      </c>
      <c r="H254" s="2" t="s">
        <v>713</v>
      </c>
      <c r="I254" s="2" t="s">
        <v>56</v>
      </c>
      <c r="J254" s="2" t="s">
        <v>37</v>
      </c>
      <c r="K254" s="2" t="s">
        <v>38</v>
      </c>
      <c r="L254" s="2" t="s">
        <v>37</v>
      </c>
      <c r="M254" s="2" t="str">
        <f>VLOOKUP(C254,seqConcatenated!$A$1:$B$124,2, FALSE)</f>
        <v>MT119550 and MT119634 are merged</v>
      </c>
      <c r="N254" s="2" t="str">
        <f>IF(ISNA(Table1[[#This Row],[Column2]]),Table1[[#This Row],[comments2]], IF(O254="NA",M254,_xlfn.CONCAT(O254,"--",M254)))</f>
        <v>MT119550 and MT119634 are merged</v>
      </c>
      <c r="O254" s="2" t="s">
        <v>39</v>
      </c>
      <c r="P254" s="2" t="s">
        <v>40</v>
      </c>
      <c r="Q254" s="2" t="s">
        <v>41</v>
      </c>
      <c r="S254" s="2" t="s">
        <v>42</v>
      </c>
      <c r="T254" s="2" t="s">
        <v>43</v>
      </c>
      <c r="U254" s="2" t="s">
        <v>44</v>
      </c>
      <c r="V254" s="2" t="s">
        <v>45</v>
      </c>
      <c r="W254" s="2">
        <v>735</v>
      </c>
      <c r="X254" s="2" t="s">
        <v>46</v>
      </c>
      <c r="Y254" s="2" t="s">
        <v>47</v>
      </c>
      <c r="AA254" s="2" t="s">
        <v>48</v>
      </c>
      <c r="AB254" s="2">
        <v>1</v>
      </c>
      <c r="AC254" s="2" t="s">
        <v>675</v>
      </c>
      <c r="AD254" s="2" t="s">
        <v>50</v>
      </c>
      <c r="AE254" s="4">
        <v>9.9544499999999996</v>
      </c>
      <c r="AF254" s="4">
        <v>-10.7318833</v>
      </c>
      <c r="AG254" s="2" t="s">
        <v>51</v>
      </c>
      <c r="AI254" s="2" t="s">
        <v>52</v>
      </c>
      <c r="AJ254" s="2" t="str">
        <f>IF(Table1[[#This Row],[Host]]="Mastomys natalensis", "Mn", IF(Table1[[#This Row],[Host]]="Homo Sapiens","Human","PROBLEMMEMEMMEMEMEMM"))</f>
        <v>Mn</v>
      </c>
      <c r="AK254" s="2" t="s">
        <v>53</v>
      </c>
      <c r="AL254" s="5">
        <v>41742</v>
      </c>
      <c r="AM254" s="6" t="s">
        <v>1100</v>
      </c>
      <c r="AO254" s="2" t="s">
        <v>716</v>
      </c>
    </row>
    <row r="255" spans="1:41" x14ac:dyDescent="0.3">
      <c r="A255" s="2">
        <v>92</v>
      </c>
      <c r="B255" s="2" t="str">
        <f>_xlfn.CONCAT(Table1[[#This Row],[Acession_no_.1]],"|",Table1[[#This Row],[Strain name]],"|",Table1[[#This Row],[host_simple]],"|",Table1[[#This Row],[Country]],"|",Table1[[#This Row],[date_text]])</f>
        <v>MT119551|Yar-62|Mn|Guinea|2014-04-15</v>
      </c>
      <c r="C255" s="2" t="s">
        <v>1367</v>
      </c>
      <c r="D255" s="2" t="str">
        <f>IF(ISNUMBER(MATCH(B255,finalSelection!$A$1:$A$497,0)),"yes","no")</f>
        <v>yes</v>
      </c>
      <c r="E255" s="2" t="s">
        <v>1020</v>
      </c>
      <c r="F255" s="2" t="s">
        <v>717</v>
      </c>
      <c r="H255" s="2" t="s">
        <v>718</v>
      </c>
      <c r="I255" s="2" t="s">
        <v>36</v>
      </c>
      <c r="J255" s="2" t="s">
        <v>37</v>
      </c>
      <c r="K255" s="2" t="s">
        <v>38</v>
      </c>
      <c r="L255" s="2" t="s">
        <v>37</v>
      </c>
      <c r="M255" s="2" t="str">
        <f>VLOOKUP(C255,seqConcatenated!$A$1:$B$124,2, FALSE)</f>
        <v>MT119551 and MT119635 are merged</v>
      </c>
      <c r="N255" s="2" t="str">
        <f>IF(ISNA(Table1[[#This Row],[Column2]]),Table1[[#This Row],[comments2]], IF(O255="NA",M255,_xlfn.CONCAT(O255,"--",M255)))</f>
        <v>MT119551 and MT119635 are merged</v>
      </c>
      <c r="O255" s="2" t="s">
        <v>39</v>
      </c>
      <c r="P255" s="2" t="s">
        <v>40</v>
      </c>
      <c r="Q255" s="2" t="s">
        <v>41</v>
      </c>
      <c r="S255" s="2" t="s">
        <v>42</v>
      </c>
      <c r="T255" s="2" t="s">
        <v>43</v>
      </c>
      <c r="U255" s="2" t="s">
        <v>44</v>
      </c>
      <c r="V255" s="2" t="s">
        <v>45</v>
      </c>
      <c r="W255" s="2">
        <v>888</v>
      </c>
      <c r="X255" s="2" t="s">
        <v>46</v>
      </c>
      <c r="Y255" s="2" t="s">
        <v>47</v>
      </c>
      <c r="AA255" s="2" t="s">
        <v>48</v>
      </c>
      <c r="AB255" s="2">
        <v>1</v>
      </c>
      <c r="AC255" s="2" t="s">
        <v>675</v>
      </c>
      <c r="AD255" s="2" t="s">
        <v>50</v>
      </c>
      <c r="AE255" s="4">
        <v>9.9544499999999996</v>
      </c>
      <c r="AF255" s="4">
        <v>-10.7318833</v>
      </c>
      <c r="AG255" s="2" t="s">
        <v>51</v>
      </c>
      <c r="AI255" s="2" t="s">
        <v>52</v>
      </c>
      <c r="AJ255" s="2" t="str">
        <f>IF(Table1[[#This Row],[Host]]="Mastomys natalensis", "Mn", IF(Table1[[#This Row],[Host]]="Homo Sapiens","Human","PROBLEMMEMEMMEMEMEMM"))</f>
        <v>Mn</v>
      </c>
      <c r="AK255" s="2" t="s">
        <v>53</v>
      </c>
      <c r="AL255" s="5">
        <v>41744</v>
      </c>
      <c r="AM255" s="6" t="s">
        <v>1101</v>
      </c>
      <c r="AO255" s="2" t="s">
        <v>719</v>
      </c>
    </row>
    <row r="256" spans="1:41" x14ac:dyDescent="0.3">
      <c r="A256" s="2">
        <v>176</v>
      </c>
      <c r="B256" s="2" t="str">
        <f>_xlfn.CONCAT(Table1[[#This Row],[Acession_no_.1]],"|",Table1[[#This Row],[Strain name]],"|",Table1[[#This Row],[host_simple]],"|",Table1[[#This Row],[Country]],"|",Table1[[#This Row],[date_text]])</f>
        <v>MT119635|Yar-62|Mn|Guinea|2014-04-15</v>
      </c>
      <c r="C256" s="2" t="s">
        <v>1367</v>
      </c>
      <c r="D256" s="2" t="str">
        <f>IF(ISNUMBER(MATCH(B256,finalSelection!$A$1:$A$497,0)),"yes","no")</f>
        <v>no</v>
      </c>
      <c r="E256" s="2" t="s">
        <v>1021</v>
      </c>
      <c r="F256" s="2" t="s">
        <v>720</v>
      </c>
      <c r="H256" s="2" t="s">
        <v>718</v>
      </c>
      <c r="I256" s="2" t="s">
        <v>56</v>
      </c>
      <c r="J256" s="2" t="s">
        <v>37</v>
      </c>
      <c r="K256" s="2" t="s">
        <v>38</v>
      </c>
      <c r="L256" s="2" t="s">
        <v>37</v>
      </c>
      <c r="M256" s="2" t="str">
        <f>VLOOKUP(C256,seqConcatenated!$A$1:$B$124,2, FALSE)</f>
        <v>MT119551 and MT119635 are merged</v>
      </c>
      <c r="N256" s="2" t="str">
        <f>IF(ISNA(Table1[[#This Row],[Column2]]),Table1[[#This Row],[comments2]], IF(O256="NA",M256,_xlfn.CONCAT(O256,"--",M256)))</f>
        <v>MT119551 and MT119635 are merged</v>
      </c>
      <c r="O256" s="2" t="s">
        <v>39</v>
      </c>
      <c r="P256" s="2" t="s">
        <v>40</v>
      </c>
      <c r="Q256" s="2" t="s">
        <v>41</v>
      </c>
      <c r="S256" s="2" t="s">
        <v>42</v>
      </c>
      <c r="T256" s="2" t="s">
        <v>43</v>
      </c>
      <c r="U256" s="2" t="s">
        <v>44</v>
      </c>
      <c r="V256" s="2" t="s">
        <v>45</v>
      </c>
      <c r="W256" s="2">
        <v>735</v>
      </c>
      <c r="X256" s="2" t="s">
        <v>46</v>
      </c>
      <c r="Y256" s="2" t="s">
        <v>47</v>
      </c>
      <c r="AA256" s="2" t="s">
        <v>48</v>
      </c>
      <c r="AB256" s="2">
        <v>1</v>
      </c>
      <c r="AC256" s="2" t="s">
        <v>675</v>
      </c>
      <c r="AD256" s="2" t="s">
        <v>50</v>
      </c>
      <c r="AE256" s="4">
        <v>9.9544499999999996</v>
      </c>
      <c r="AF256" s="4">
        <v>-10.7318833</v>
      </c>
      <c r="AG256" s="2" t="s">
        <v>51</v>
      </c>
      <c r="AI256" s="2" t="s">
        <v>52</v>
      </c>
      <c r="AJ256" s="2" t="str">
        <f>IF(Table1[[#This Row],[Host]]="Mastomys natalensis", "Mn", IF(Table1[[#This Row],[Host]]="Homo Sapiens","Human","PROBLEMMEMEMMEMEMEMM"))</f>
        <v>Mn</v>
      </c>
      <c r="AK256" s="2" t="s">
        <v>53</v>
      </c>
      <c r="AL256" s="5">
        <v>41744</v>
      </c>
      <c r="AM256" s="6" t="s">
        <v>1101</v>
      </c>
      <c r="AO256" s="2" t="s">
        <v>721</v>
      </c>
    </row>
    <row r="257" spans="1:41" x14ac:dyDescent="0.3">
      <c r="A257" s="2">
        <v>223</v>
      </c>
      <c r="B257" s="2" t="str">
        <f>_xlfn.CONCAT(Table1[[#This Row],[Acession_no_.1]],"|",Table1[[#This Row],[Strain name]],"|",Table1[[#This Row],[host_simple]],"|",Table1[[#This Row],[Country]],"|",Table1[[#This Row],[date_text]])</f>
        <v>MN123692|Yar14|Mn|Guinea|2013-11-20</v>
      </c>
      <c r="C257" s="2" t="s">
        <v>1368</v>
      </c>
      <c r="D257" s="2" t="str">
        <f>IF(ISNUMBER(MATCH(B257,finalSelection!$A$1:$A$497,0)),"yes","no")</f>
        <v>yes</v>
      </c>
      <c r="E257" s="2" t="s">
        <v>1022</v>
      </c>
      <c r="F257" s="2" t="s">
        <v>722</v>
      </c>
      <c r="H257" s="2" t="s">
        <v>723</v>
      </c>
      <c r="I257" s="2" t="s">
        <v>36</v>
      </c>
      <c r="J257" s="2" t="s">
        <v>37</v>
      </c>
      <c r="K257" s="2" t="s">
        <v>38</v>
      </c>
      <c r="L257" s="2" t="s">
        <v>37</v>
      </c>
      <c r="M257" s="2" t="str">
        <f>VLOOKUP(C257,seqConcatenated!$A$1:$B$124,2, FALSE)</f>
        <v>MN123692 and KT833188 are merged</v>
      </c>
      <c r="N257" s="2" t="str">
        <f>IF(ISNA(Table1[[#This Row],[Column2]]),Table1[[#This Row],[comments2]], IF(O257="NA",M257,_xlfn.CONCAT(O257,"--",M257)))</f>
        <v>MN123692 and KT833188 are merged</v>
      </c>
      <c r="O257" s="2" t="s">
        <v>39</v>
      </c>
      <c r="P257" s="2" t="s">
        <v>150</v>
      </c>
      <c r="Q257" s="2" t="s">
        <v>151</v>
      </c>
      <c r="S257" s="2" t="s">
        <v>42</v>
      </c>
      <c r="T257" s="2" t="s">
        <v>43</v>
      </c>
      <c r="U257" s="2" t="s">
        <v>44</v>
      </c>
      <c r="V257" s="2" t="s">
        <v>45</v>
      </c>
      <c r="W257" s="2">
        <v>888</v>
      </c>
      <c r="X257" s="2" t="s">
        <v>46</v>
      </c>
      <c r="Y257" s="2" t="s">
        <v>47</v>
      </c>
      <c r="AA257" s="2" t="s">
        <v>48</v>
      </c>
      <c r="AB257" s="2">
        <v>1</v>
      </c>
      <c r="AC257" s="2" t="s">
        <v>675</v>
      </c>
      <c r="AD257" s="2" t="s">
        <v>50</v>
      </c>
      <c r="AE257" s="4">
        <v>9.9544499999999996</v>
      </c>
      <c r="AF257" s="4">
        <v>-10.7318833</v>
      </c>
      <c r="AG257" s="2" t="s">
        <v>51</v>
      </c>
      <c r="AI257" s="2" t="s">
        <v>52</v>
      </c>
      <c r="AJ257" s="2" t="str">
        <f>IF(Table1[[#This Row],[Host]]="Mastomys natalensis", "Mn", IF(Table1[[#This Row],[Host]]="Homo Sapiens","Human","PROBLEMMEMEMMEMEMEMM"))</f>
        <v>Mn</v>
      </c>
      <c r="AK257" s="2" t="s">
        <v>53</v>
      </c>
      <c r="AL257" s="5">
        <v>41598</v>
      </c>
      <c r="AM257" s="6" t="s">
        <v>1094</v>
      </c>
      <c r="AO257" s="2" t="s">
        <v>724</v>
      </c>
    </row>
    <row r="258" spans="1:41" x14ac:dyDescent="0.3">
      <c r="A258" s="2">
        <v>284</v>
      </c>
      <c r="B258" s="2" t="str">
        <f>_xlfn.CONCAT(Table1[[#This Row],[Acession_no_.1]],"|",Table1[[#This Row],[Strain name]],"|",Table1[[#This Row],[host_simple]],"|",Table1[[#This Row],[Country]],"|",Table1[[#This Row],[date_text]])</f>
        <v>KT833188|Yar14|Mn|Guinea|2013-11-20</v>
      </c>
      <c r="C258" s="2" t="s">
        <v>1368</v>
      </c>
      <c r="D258" s="2" t="str">
        <f>IF(ISNUMBER(MATCH(B258,finalSelection!$A$1:$A$497,0)),"yes","no")</f>
        <v>no</v>
      </c>
      <c r="E258" s="2" t="s">
        <v>1023</v>
      </c>
      <c r="F258" s="2" t="s">
        <v>725</v>
      </c>
      <c r="H258" s="2" t="s">
        <v>723</v>
      </c>
      <c r="I258" s="2" t="s">
        <v>56</v>
      </c>
      <c r="J258" s="2" t="s">
        <v>154</v>
      </c>
      <c r="K258" s="2" t="s">
        <v>38</v>
      </c>
      <c r="L258" s="2" t="s">
        <v>37</v>
      </c>
      <c r="M258" s="2" t="str">
        <f>VLOOKUP(C258,seqConcatenated!$A$1:$B$124,2, FALSE)</f>
        <v>MN123692 and KT833188 are merged</v>
      </c>
      <c r="N258" s="2" t="str">
        <f>IF(ISNA(Table1[[#This Row],[Column2]]),Table1[[#This Row],[comments2]], IF(O258="NA",M258,_xlfn.CONCAT(O258,"--",M258)))</f>
        <v>MN123692 and KT833188 are merged</v>
      </c>
      <c r="O258" s="2" t="s">
        <v>39</v>
      </c>
      <c r="P258" s="2" t="s">
        <v>155</v>
      </c>
      <c r="Q258" s="2" t="s">
        <v>156</v>
      </c>
      <c r="S258" s="2" t="s">
        <v>42</v>
      </c>
      <c r="T258" s="2" t="s">
        <v>43</v>
      </c>
      <c r="U258" s="2" t="s">
        <v>44</v>
      </c>
      <c r="V258" s="2" t="s">
        <v>45</v>
      </c>
      <c r="W258" s="2">
        <v>754</v>
      </c>
      <c r="X258" s="2" t="s">
        <v>46</v>
      </c>
      <c r="Y258" s="2" t="s">
        <v>47</v>
      </c>
      <c r="AA258" s="2" t="s">
        <v>48</v>
      </c>
      <c r="AB258" s="2">
        <v>1</v>
      </c>
      <c r="AC258" s="2" t="s">
        <v>675</v>
      </c>
      <c r="AD258" s="2" t="s">
        <v>50</v>
      </c>
      <c r="AE258" s="4">
        <v>9.9544499999999996</v>
      </c>
      <c r="AF258" s="4">
        <v>-10.7318833</v>
      </c>
      <c r="AG258" s="2" t="s">
        <v>51</v>
      </c>
      <c r="AI258" s="2" t="s">
        <v>52</v>
      </c>
      <c r="AJ258" s="2" t="str">
        <f>IF(Table1[[#This Row],[Host]]="Mastomys natalensis", "Mn", IF(Table1[[#This Row],[Host]]="Homo Sapiens","Human","PROBLEMMEMEMMEMEMEMM"))</f>
        <v>Mn</v>
      </c>
      <c r="AK258" s="2" t="s">
        <v>53</v>
      </c>
      <c r="AL258" s="5">
        <v>41598</v>
      </c>
      <c r="AM258" s="6" t="s">
        <v>1094</v>
      </c>
      <c r="AO258" s="2" t="s">
        <v>726</v>
      </c>
    </row>
    <row r="259" spans="1:41" x14ac:dyDescent="0.3">
      <c r="A259" s="2">
        <v>224</v>
      </c>
      <c r="B259" s="2" t="str">
        <f>_xlfn.CONCAT(Table1[[#This Row],[Acession_no_.1]],"|",Table1[[#This Row],[Strain name]],"|",Table1[[#This Row],[host_simple]],"|",Table1[[#This Row],[Country]],"|",Table1[[#This Row],[date_text]])</f>
        <v>MN123693|Yar20|Mn|Guinea|2013-11-20</v>
      </c>
      <c r="C259" s="2" t="s">
        <v>1369</v>
      </c>
      <c r="D259" s="2" t="str">
        <f>IF(ISNUMBER(MATCH(B259,finalSelection!$A$1:$A$497,0)),"yes","no")</f>
        <v>yes</v>
      </c>
      <c r="E259" s="2" t="s">
        <v>1024</v>
      </c>
      <c r="F259" s="2" t="s">
        <v>727</v>
      </c>
      <c r="H259" s="2" t="s">
        <v>728</v>
      </c>
      <c r="I259" s="2" t="s">
        <v>36</v>
      </c>
      <c r="J259" s="2" t="s">
        <v>37</v>
      </c>
      <c r="K259" s="2" t="s">
        <v>38</v>
      </c>
      <c r="L259" s="2" t="s">
        <v>37</v>
      </c>
      <c r="M259" s="2" t="str">
        <f>VLOOKUP(C259,seqConcatenated!$A$1:$B$124,2, FALSE)</f>
        <v>MN123693 and KT833189 are merged</v>
      </c>
      <c r="N259" s="2" t="str">
        <f>IF(ISNA(Table1[[#This Row],[Column2]]),Table1[[#This Row],[comments2]], IF(O259="NA",M259,_xlfn.CONCAT(O259,"--",M259)))</f>
        <v>MN123693 and KT833189 are merged</v>
      </c>
      <c r="O259" s="2" t="s">
        <v>39</v>
      </c>
      <c r="P259" s="2" t="s">
        <v>150</v>
      </c>
      <c r="Q259" s="2" t="s">
        <v>151</v>
      </c>
      <c r="S259" s="2" t="s">
        <v>42</v>
      </c>
      <c r="T259" s="2" t="s">
        <v>43</v>
      </c>
      <c r="U259" s="2" t="s">
        <v>44</v>
      </c>
      <c r="V259" s="2" t="s">
        <v>45</v>
      </c>
      <c r="W259" s="2">
        <v>888</v>
      </c>
      <c r="X259" s="2" t="s">
        <v>46</v>
      </c>
      <c r="Y259" s="2" t="s">
        <v>47</v>
      </c>
      <c r="AA259" s="2" t="s">
        <v>48</v>
      </c>
      <c r="AB259" s="2">
        <v>1</v>
      </c>
      <c r="AC259" s="2" t="s">
        <v>675</v>
      </c>
      <c r="AD259" s="2" t="s">
        <v>50</v>
      </c>
      <c r="AE259" s="4">
        <v>9.9544499999999996</v>
      </c>
      <c r="AF259" s="4">
        <v>-10.7318833</v>
      </c>
      <c r="AG259" s="2" t="s">
        <v>51</v>
      </c>
      <c r="AI259" s="2" t="s">
        <v>52</v>
      </c>
      <c r="AJ259" s="2" t="str">
        <f>IF(Table1[[#This Row],[Host]]="Mastomys natalensis", "Mn", IF(Table1[[#This Row],[Host]]="Homo Sapiens","Human","PROBLEMMEMEMMEMEMEMM"))</f>
        <v>Mn</v>
      </c>
      <c r="AK259" s="2" t="s">
        <v>53</v>
      </c>
      <c r="AL259" s="5">
        <v>41598</v>
      </c>
      <c r="AM259" s="6" t="s">
        <v>1094</v>
      </c>
      <c r="AO259" s="2" t="s">
        <v>729</v>
      </c>
    </row>
    <row r="260" spans="1:41" x14ac:dyDescent="0.3">
      <c r="A260" s="2">
        <v>285</v>
      </c>
      <c r="B260" s="2" t="str">
        <f>_xlfn.CONCAT(Table1[[#This Row],[Acession_no_.1]],"|",Table1[[#This Row],[Strain name]],"|",Table1[[#This Row],[host_simple]],"|",Table1[[#This Row],[Country]],"|",Table1[[#This Row],[date_text]])</f>
        <v>KT833189|Yar20|Mn|Guinea|2013-11-20</v>
      </c>
      <c r="C260" s="2" t="s">
        <v>1369</v>
      </c>
      <c r="D260" s="2" t="str">
        <f>IF(ISNUMBER(MATCH(B260,finalSelection!$A$1:$A$497,0)),"yes","no")</f>
        <v>no</v>
      </c>
      <c r="E260" s="2" t="s">
        <v>1025</v>
      </c>
      <c r="F260" s="2" t="s">
        <v>730</v>
      </c>
      <c r="H260" s="2" t="s">
        <v>728</v>
      </c>
      <c r="I260" s="2" t="s">
        <v>56</v>
      </c>
      <c r="J260" s="2" t="s">
        <v>154</v>
      </c>
      <c r="K260" s="2" t="s">
        <v>38</v>
      </c>
      <c r="L260" s="2" t="s">
        <v>37</v>
      </c>
      <c r="M260" s="2" t="str">
        <f>VLOOKUP(C260,seqConcatenated!$A$1:$B$124,2, FALSE)</f>
        <v>MN123693 and KT833189 are merged</v>
      </c>
      <c r="N260" s="2" t="str">
        <f>IF(ISNA(Table1[[#This Row],[Column2]]),Table1[[#This Row],[comments2]], IF(O260="NA",M260,_xlfn.CONCAT(O260,"--",M260)))</f>
        <v>MN123693 and KT833189 are merged</v>
      </c>
      <c r="O260" s="2" t="s">
        <v>39</v>
      </c>
      <c r="P260" s="2" t="s">
        <v>155</v>
      </c>
      <c r="Q260" s="2" t="s">
        <v>156</v>
      </c>
      <c r="S260" s="2" t="s">
        <v>42</v>
      </c>
      <c r="T260" s="2" t="s">
        <v>43</v>
      </c>
      <c r="U260" s="2" t="s">
        <v>44</v>
      </c>
      <c r="V260" s="2" t="s">
        <v>45</v>
      </c>
      <c r="W260" s="2">
        <v>754</v>
      </c>
      <c r="X260" s="2" t="s">
        <v>46</v>
      </c>
      <c r="Y260" s="2" t="s">
        <v>47</v>
      </c>
      <c r="AA260" s="2" t="s">
        <v>48</v>
      </c>
      <c r="AB260" s="2">
        <v>1</v>
      </c>
      <c r="AC260" s="2" t="s">
        <v>675</v>
      </c>
      <c r="AD260" s="2" t="s">
        <v>50</v>
      </c>
      <c r="AE260" s="4">
        <v>9.9544499999999996</v>
      </c>
      <c r="AF260" s="4">
        <v>-10.7318833</v>
      </c>
      <c r="AG260" s="2" t="s">
        <v>51</v>
      </c>
      <c r="AI260" s="2" t="s">
        <v>52</v>
      </c>
      <c r="AJ260" s="2" t="str">
        <f>IF(Table1[[#This Row],[Host]]="Mastomys natalensis", "Mn", IF(Table1[[#This Row],[Host]]="Homo Sapiens","Human","PROBLEMMEMEMMEMEMEMM"))</f>
        <v>Mn</v>
      </c>
      <c r="AK260" s="2" t="s">
        <v>53</v>
      </c>
      <c r="AL260" s="5">
        <v>41598</v>
      </c>
      <c r="AM260" s="6" t="s">
        <v>1094</v>
      </c>
      <c r="AO260" s="2" t="s">
        <v>731</v>
      </c>
    </row>
    <row r="261" spans="1:41" x14ac:dyDescent="0.3">
      <c r="A261" s="2">
        <v>225</v>
      </c>
      <c r="B261" s="2" t="str">
        <f>_xlfn.CONCAT(Table1[[#This Row],[Acession_no_.1]],"|",Table1[[#This Row],[Strain name]],"|",Table1[[#This Row],[host_simple]],"|",Table1[[#This Row],[Country]],"|",Table1[[#This Row],[date_text]])</f>
        <v>MN123694|Yar24|Mn|Guinea|2013-11-21</v>
      </c>
      <c r="C261" s="2" t="s">
        <v>1370</v>
      </c>
      <c r="D261" s="2" t="str">
        <f>IF(ISNUMBER(MATCH(B261,finalSelection!$A$1:$A$497,0)),"yes","no")</f>
        <v>yes</v>
      </c>
      <c r="E261" s="2" t="s">
        <v>1026</v>
      </c>
      <c r="F261" s="2" t="s">
        <v>732</v>
      </c>
      <c r="H261" s="2" t="s">
        <v>733</v>
      </c>
      <c r="I261" s="2" t="s">
        <v>36</v>
      </c>
      <c r="J261" s="2" t="s">
        <v>37</v>
      </c>
      <c r="K261" s="2" t="s">
        <v>38</v>
      </c>
      <c r="L261" s="2" t="s">
        <v>37</v>
      </c>
      <c r="M261" s="2" t="str">
        <f>VLOOKUP(C261,seqConcatenated!$A$1:$B$124,2, FALSE)</f>
        <v>MN123694 and KT833190 are merged</v>
      </c>
      <c r="N261" s="2" t="str">
        <f>IF(ISNA(Table1[[#This Row],[Column2]]),Table1[[#This Row],[comments2]], IF(O261="NA",M261,_xlfn.CONCAT(O261,"--",M261)))</f>
        <v>MN123694 and KT833190 are merged</v>
      </c>
      <c r="O261" s="2" t="s">
        <v>39</v>
      </c>
      <c r="P261" s="2" t="s">
        <v>150</v>
      </c>
      <c r="Q261" s="2" t="s">
        <v>151</v>
      </c>
      <c r="S261" s="2" t="s">
        <v>42</v>
      </c>
      <c r="T261" s="2" t="s">
        <v>43</v>
      </c>
      <c r="U261" s="2" t="s">
        <v>44</v>
      </c>
      <c r="V261" s="2" t="s">
        <v>45</v>
      </c>
      <c r="W261" s="2">
        <v>888</v>
      </c>
      <c r="X261" s="2" t="s">
        <v>46</v>
      </c>
      <c r="Y261" s="2" t="s">
        <v>47</v>
      </c>
      <c r="AA261" s="2" t="s">
        <v>48</v>
      </c>
      <c r="AB261" s="2">
        <v>1</v>
      </c>
      <c r="AC261" s="2" t="s">
        <v>675</v>
      </c>
      <c r="AD261" s="2" t="s">
        <v>50</v>
      </c>
      <c r="AE261" s="4">
        <v>9.9544499999999996</v>
      </c>
      <c r="AF261" s="4">
        <v>-10.7318833</v>
      </c>
      <c r="AG261" s="2" t="s">
        <v>51</v>
      </c>
      <c r="AI261" s="2" t="s">
        <v>52</v>
      </c>
      <c r="AJ261" s="2" t="str">
        <f>IF(Table1[[#This Row],[Host]]="Mastomys natalensis", "Mn", IF(Table1[[#This Row],[Host]]="Homo Sapiens","Human","PROBLEMMEMEMMEMEMEMM"))</f>
        <v>Mn</v>
      </c>
      <c r="AK261" s="2" t="s">
        <v>53</v>
      </c>
      <c r="AL261" s="5">
        <v>41599</v>
      </c>
      <c r="AM261" s="6" t="s">
        <v>1099</v>
      </c>
      <c r="AO261" s="2" t="s">
        <v>734</v>
      </c>
    </row>
    <row r="262" spans="1:41" x14ac:dyDescent="0.3">
      <c r="A262" s="2">
        <v>286</v>
      </c>
      <c r="B262" s="2" t="str">
        <f>_xlfn.CONCAT(Table1[[#This Row],[Acession_no_.1]],"|",Table1[[#This Row],[Strain name]],"|",Table1[[#This Row],[host_simple]],"|",Table1[[#This Row],[Country]],"|",Table1[[#This Row],[date_text]])</f>
        <v>KT833190|Yar24|Mn|Guinea|2013-11-21</v>
      </c>
      <c r="C262" s="2" t="s">
        <v>1370</v>
      </c>
      <c r="D262" s="2" t="str">
        <f>IF(ISNUMBER(MATCH(B262,finalSelection!$A$1:$A$497,0)),"yes","no")</f>
        <v>no</v>
      </c>
      <c r="E262" s="2" t="s">
        <v>1027</v>
      </c>
      <c r="F262" s="2" t="s">
        <v>735</v>
      </c>
      <c r="H262" s="2" t="s">
        <v>733</v>
      </c>
      <c r="I262" s="2" t="s">
        <v>56</v>
      </c>
      <c r="J262" s="2" t="s">
        <v>154</v>
      </c>
      <c r="K262" s="2" t="s">
        <v>38</v>
      </c>
      <c r="L262" s="2" t="s">
        <v>37</v>
      </c>
      <c r="M262" s="2" t="str">
        <f>VLOOKUP(C262,seqConcatenated!$A$1:$B$124,2, FALSE)</f>
        <v>MN123694 and KT833190 are merged</v>
      </c>
      <c r="N262" s="2" t="str">
        <f>IF(ISNA(Table1[[#This Row],[Column2]]),Table1[[#This Row],[comments2]], IF(O262="NA",M262,_xlfn.CONCAT(O262,"--",M262)))</f>
        <v>MN123694 and KT833190 are merged</v>
      </c>
      <c r="O262" s="2" t="s">
        <v>39</v>
      </c>
      <c r="P262" s="2" t="s">
        <v>155</v>
      </c>
      <c r="Q262" s="2" t="s">
        <v>156</v>
      </c>
      <c r="S262" s="2" t="s">
        <v>42</v>
      </c>
      <c r="T262" s="2" t="s">
        <v>43</v>
      </c>
      <c r="U262" s="2" t="s">
        <v>44</v>
      </c>
      <c r="V262" s="2" t="s">
        <v>45</v>
      </c>
      <c r="W262" s="2">
        <v>754</v>
      </c>
      <c r="X262" s="2" t="s">
        <v>46</v>
      </c>
      <c r="Y262" s="2" t="s">
        <v>47</v>
      </c>
      <c r="AA262" s="2" t="s">
        <v>48</v>
      </c>
      <c r="AB262" s="2">
        <v>1</v>
      </c>
      <c r="AC262" s="2" t="s">
        <v>675</v>
      </c>
      <c r="AD262" s="2" t="s">
        <v>50</v>
      </c>
      <c r="AE262" s="4">
        <v>9.9544499999999996</v>
      </c>
      <c r="AF262" s="4">
        <v>-10.7318833</v>
      </c>
      <c r="AG262" s="2" t="s">
        <v>51</v>
      </c>
      <c r="AI262" s="2" t="s">
        <v>52</v>
      </c>
      <c r="AJ262" s="2" t="str">
        <f>IF(Table1[[#This Row],[Host]]="Mastomys natalensis", "Mn", IF(Table1[[#This Row],[Host]]="Homo Sapiens","Human","PROBLEMMEMEMMEMEMEMM"))</f>
        <v>Mn</v>
      </c>
      <c r="AK262" s="2" t="s">
        <v>53</v>
      </c>
      <c r="AL262" s="5">
        <v>41599</v>
      </c>
      <c r="AM262" s="6" t="s">
        <v>1099</v>
      </c>
      <c r="AO262" s="2" t="s">
        <v>736</v>
      </c>
    </row>
    <row r="263" spans="1:41" x14ac:dyDescent="0.3">
      <c r="A263" s="2">
        <v>226</v>
      </c>
      <c r="B263" s="2" t="str">
        <f>_xlfn.CONCAT(Table1[[#This Row],[Acession_no_.1]],"|",Table1[[#This Row],[Strain name]],"|",Table1[[#This Row],[host_simple]],"|",Table1[[#This Row],[Country]],"|",Table1[[#This Row],[date_text]])</f>
        <v>MN123695|Yar36|Mn|Guinea|2013-11-21</v>
      </c>
      <c r="C263" s="2" t="s">
        <v>1371</v>
      </c>
      <c r="D263" s="2" t="str">
        <f>IF(ISNUMBER(MATCH(B263,finalSelection!$A$1:$A$497,0)),"yes","no")</f>
        <v>yes</v>
      </c>
      <c r="E263" s="2" t="s">
        <v>1028</v>
      </c>
      <c r="F263" s="2" t="s">
        <v>737</v>
      </c>
      <c r="H263" s="2" t="s">
        <v>738</v>
      </c>
      <c r="I263" s="2" t="s">
        <v>36</v>
      </c>
      <c r="J263" s="2" t="s">
        <v>37</v>
      </c>
      <c r="K263" s="2" t="s">
        <v>38</v>
      </c>
      <c r="L263" s="2" t="s">
        <v>37</v>
      </c>
      <c r="M263" s="2" t="str">
        <f>VLOOKUP(C263,seqConcatenated!$A$1:$B$124,2, FALSE)</f>
        <v>MN123695 and KT833191 are merged</v>
      </c>
      <c r="N263" s="2" t="str">
        <f>IF(ISNA(Table1[[#This Row],[Column2]]),Table1[[#This Row],[comments2]], IF(O263="NA",M263,_xlfn.CONCAT(O263,"--",M263)))</f>
        <v>MN123695 and KT833191 are merged</v>
      </c>
      <c r="O263" s="2" t="s">
        <v>39</v>
      </c>
      <c r="P263" s="2" t="s">
        <v>150</v>
      </c>
      <c r="Q263" s="2" t="s">
        <v>151</v>
      </c>
      <c r="S263" s="2" t="s">
        <v>42</v>
      </c>
      <c r="T263" s="2" t="s">
        <v>43</v>
      </c>
      <c r="U263" s="2" t="s">
        <v>44</v>
      </c>
      <c r="V263" s="2" t="s">
        <v>45</v>
      </c>
      <c r="W263" s="2">
        <v>888</v>
      </c>
      <c r="X263" s="2" t="s">
        <v>46</v>
      </c>
      <c r="Y263" s="2" t="s">
        <v>47</v>
      </c>
      <c r="AA263" s="2" t="s">
        <v>48</v>
      </c>
      <c r="AB263" s="2">
        <v>1</v>
      </c>
      <c r="AC263" s="2" t="s">
        <v>675</v>
      </c>
      <c r="AD263" s="2" t="s">
        <v>50</v>
      </c>
      <c r="AE263" s="4">
        <v>9.9544499999999996</v>
      </c>
      <c r="AF263" s="4">
        <v>-10.7318833</v>
      </c>
      <c r="AG263" s="2" t="s">
        <v>51</v>
      </c>
      <c r="AI263" s="2" t="s">
        <v>52</v>
      </c>
      <c r="AJ263" s="2" t="str">
        <f>IF(Table1[[#This Row],[Host]]="Mastomys natalensis", "Mn", IF(Table1[[#This Row],[Host]]="Homo Sapiens","Human","PROBLEMMEMEMMEMEMEMM"))</f>
        <v>Mn</v>
      </c>
      <c r="AK263" s="2" t="s">
        <v>53</v>
      </c>
      <c r="AL263" s="5">
        <v>41599</v>
      </c>
      <c r="AM263" s="6" t="s">
        <v>1099</v>
      </c>
      <c r="AO263" s="2" t="s">
        <v>739</v>
      </c>
    </row>
    <row r="264" spans="1:41" x14ac:dyDescent="0.3">
      <c r="A264" s="2">
        <v>287</v>
      </c>
      <c r="B264" s="2" t="str">
        <f>_xlfn.CONCAT(Table1[[#This Row],[Acession_no_.1]],"|",Table1[[#This Row],[Strain name]],"|",Table1[[#This Row],[host_simple]],"|",Table1[[#This Row],[Country]],"|",Table1[[#This Row],[date_text]])</f>
        <v>KT833191|Yar36|Mn|Guinea|2013-11-21</v>
      </c>
      <c r="C264" s="2" t="s">
        <v>1371</v>
      </c>
      <c r="D264" s="2" t="str">
        <f>IF(ISNUMBER(MATCH(B264,finalSelection!$A$1:$A$497,0)),"yes","no")</f>
        <v>no</v>
      </c>
      <c r="E264" s="2" t="s">
        <v>1029</v>
      </c>
      <c r="F264" s="2" t="s">
        <v>740</v>
      </c>
      <c r="H264" s="2" t="s">
        <v>738</v>
      </c>
      <c r="I264" s="2" t="s">
        <v>56</v>
      </c>
      <c r="J264" s="2" t="s">
        <v>154</v>
      </c>
      <c r="K264" s="2" t="s">
        <v>38</v>
      </c>
      <c r="L264" s="2" t="s">
        <v>37</v>
      </c>
      <c r="M264" s="2" t="str">
        <f>VLOOKUP(C264,seqConcatenated!$A$1:$B$124,2, FALSE)</f>
        <v>MN123695 and KT833191 are merged</v>
      </c>
      <c r="N264" s="2" t="str">
        <f>IF(ISNA(Table1[[#This Row],[Column2]]),Table1[[#This Row],[comments2]], IF(O264="NA",M264,_xlfn.CONCAT(O264,"--",M264)))</f>
        <v>MN123695 and KT833191 are merged</v>
      </c>
      <c r="O264" s="2" t="s">
        <v>39</v>
      </c>
      <c r="P264" s="2" t="s">
        <v>155</v>
      </c>
      <c r="Q264" s="2" t="s">
        <v>156</v>
      </c>
      <c r="S264" s="2" t="s">
        <v>42</v>
      </c>
      <c r="T264" s="2" t="s">
        <v>43</v>
      </c>
      <c r="U264" s="2" t="s">
        <v>44</v>
      </c>
      <c r="V264" s="2" t="s">
        <v>45</v>
      </c>
      <c r="W264" s="2">
        <v>754</v>
      </c>
      <c r="X264" s="2" t="s">
        <v>46</v>
      </c>
      <c r="Y264" s="2" t="s">
        <v>47</v>
      </c>
      <c r="AA264" s="2" t="s">
        <v>48</v>
      </c>
      <c r="AB264" s="2">
        <v>1</v>
      </c>
      <c r="AC264" s="2" t="s">
        <v>675</v>
      </c>
      <c r="AD264" s="2" t="s">
        <v>50</v>
      </c>
      <c r="AE264" s="4">
        <v>9.9544499999999996</v>
      </c>
      <c r="AF264" s="4">
        <v>-10.7318833</v>
      </c>
      <c r="AG264" s="2" t="s">
        <v>51</v>
      </c>
      <c r="AI264" s="2" t="s">
        <v>52</v>
      </c>
      <c r="AJ264" s="2" t="str">
        <f>IF(Table1[[#This Row],[Host]]="Mastomys natalensis", "Mn", IF(Table1[[#This Row],[Host]]="Homo Sapiens","Human","PROBLEMMEMEMMEMEMEMM"))</f>
        <v>Mn</v>
      </c>
      <c r="AK264" s="2" t="s">
        <v>53</v>
      </c>
      <c r="AL264" s="5">
        <v>41599</v>
      </c>
      <c r="AM264" s="6" t="s">
        <v>1099</v>
      </c>
      <c r="AO264" s="2" t="s">
        <v>741</v>
      </c>
    </row>
    <row r="265" spans="1:41" x14ac:dyDescent="0.3">
      <c r="A265" s="2">
        <v>227</v>
      </c>
      <c r="B265" s="2" t="str">
        <f>_xlfn.CONCAT(Table1[[#This Row],[Acession_no_.1]],"|",Table1[[#This Row],[Strain name]],"|",Table1[[#This Row],[host_simple]],"|",Table1[[#This Row],[Country]],"|",Table1[[#This Row],[date_text]])</f>
        <v>MN123696|Yar46|Mn|Guinea|2013-11-21</v>
      </c>
      <c r="C265" s="2" t="s">
        <v>1372</v>
      </c>
      <c r="D265" s="2" t="str">
        <f>IF(ISNUMBER(MATCH(B265,finalSelection!$A$1:$A$497,0)),"yes","no")</f>
        <v>yes</v>
      </c>
      <c r="E265" s="2" t="s">
        <v>1030</v>
      </c>
      <c r="F265" s="2" t="s">
        <v>742</v>
      </c>
      <c r="H265" s="2" t="s">
        <v>743</v>
      </c>
      <c r="I265" s="2" t="s">
        <v>36</v>
      </c>
      <c r="J265" s="2" t="s">
        <v>37</v>
      </c>
      <c r="K265" s="2" t="s">
        <v>38</v>
      </c>
      <c r="L265" s="2" t="s">
        <v>37</v>
      </c>
      <c r="M265" s="2" t="str">
        <f>VLOOKUP(C265,seqConcatenated!$A$1:$B$124,2, FALSE)</f>
        <v>MN123696 and KT833192 are merged</v>
      </c>
      <c r="N265" s="2" t="str">
        <f>IF(ISNA(Table1[[#This Row],[Column2]]),Table1[[#This Row],[comments2]], IF(O265="NA",M265,_xlfn.CONCAT(O265,"--",M265)))</f>
        <v>MN123696 and KT833192 are merged</v>
      </c>
      <c r="O265" s="2" t="s">
        <v>39</v>
      </c>
      <c r="P265" s="2" t="s">
        <v>150</v>
      </c>
      <c r="Q265" s="2" t="s">
        <v>151</v>
      </c>
      <c r="S265" s="2" t="s">
        <v>42</v>
      </c>
      <c r="T265" s="2" t="s">
        <v>43</v>
      </c>
      <c r="U265" s="2" t="s">
        <v>44</v>
      </c>
      <c r="V265" s="2" t="s">
        <v>45</v>
      </c>
      <c r="W265" s="2">
        <v>888</v>
      </c>
      <c r="X265" s="2" t="s">
        <v>46</v>
      </c>
      <c r="Y265" s="2" t="s">
        <v>47</v>
      </c>
      <c r="AA265" s="2" t="s">
        <v>48</v>
      </c>
      <c r="AB265" s="2">
        <v>1</v>
      </c>
      <c r="AC265" s="2" t="s">
        <v>675</v>
      </c>
      <c r="AD265" s="2" t="s">
        <v>50</v>
      </c>
      <c r="AE265" s="4">
        <v>9.9544499999999996</v>
      </c>
      <c r="AF265" s="4">
        <v>-10.7318833</v>
      </c>
      <c r="AG265" s="2" t="s">
        <v>51</v>
      </c>
      <c r="AI265" s="2" t="s">
        <v>52</v>
      </c>
      <c r="AJ265" s="2" t="str">
        <f>IF(Table1[[#This Row],[Host]]="Mastomys natalensis", "Mn", IF(Table1[[#This Row],[Host]]="Homo Sapiens","Human","PROBLEMMEMEMMEMEMEMM"))</f>
        <v>Mn</v>
      </c>
      <c r="AK265" s="2" t="s">
        <v>53</v>
      </c>
      <c r="AL265" s="5">
        <v>41599</v>
      </c>
      <c r="AM265" s="6" t="s">
        <v>1099</v>
      </c>
      <c r="AO265" s="2" t="s">
        <v>744</v>
      </c>
    </row>
    <row r="266" spans="1:41" x14ac:dyDescent="0.3">
      <c r="A266" s="2">
        <v>288</v>
      </c>
      <c r="B266" s="2" t="str">
        <f>_xlfn.CONCAT(Table1[[#This Row],[Acession_no_.1]],"|",Table1[[#This Row],[Strain name]],"|",Table1[[#This Row],[host_simple]],"|",Table1[[#This Row],[Country]],"|",Table1[[#This Row],[date_text]])</f>
        <v>KT833192|Yar46|Mn|Guinea|2013-11-21</v>
      </c>
      <c r="C266" s="2" t="s">
        <v>1372</v>
      </c>
      <c r="D266" s="2" t="str">
        <f>IF(ISNUMBER(MATCH(B266,finalSelection!$A$1:$A$497,0)),"yes","no")</f>
        <v>no</v>
      </c>
      <c r="E266" s="2" t="s">
        <v>1031</v>
      </c>
      <c r="F266" s="2" t="s">
        <v>745</v>
      </c>
      <c r="H266" s="2" t="s">
        <v>743</v>
      </c>
      <c r="I266" s="2" t="s">
        <v>56</v>
      </c>
      <c r="J266" s="2" t="s">
        <v>154</v>
      </c>
      <c r="K266" s="2" t="s">
        <v>38</v>
      </c>
      <c r="L266" s="2" t="s">
        <v>37</v>
      </c>
      <c r="M266" s="2" t="str">
        <f>VLOOKUP(C266,seqConcatenated!$A$1:$B$124,2, FALSE)</f>
        <v>MN123696 and KT833192 are merged</v>
      </c>
      <c r="N266" s="2" t="str">
        <f>IF(ISNA(Table1[[#This Row],[Column2]]),Table1[[#This Row],[comments2]], IF(O266="NA",M266,_xlfn.CONCAT(O266,"--",M266)))</f>
        <v>MN123696 and KT833192 are merged</v>
      </c>
      <c r="O266" s="2" t="s">
        <v>39</v>
      </c>
      <c r="P266" s="2" t="s">
        <v>155</v>
      </c>
      <c r="Q266" s="2" t="s">
        <v>156</v>
      </c>
      <c r="S266" s="2" t="s">
        <v>42</v>
      </c>
      <c r="T266" s="2" t="s">
        <v>43</v>
      </c>
      <c r="U266" s="2" t="s">
        <v>44</v>
      </c>
      <c r="V266" s="2" t="s">
        <v>45</v>
      </c>
      <c r="W266" s="2">
        <v>754</v>
      </c>
      <c r="X266" s="2" t="s">
        <v>46</v>
      </c>
      <c r="Y266" s="2" t="s">
        <v>47</v>
      </c>
      <c r="AA266" s="2" t="s">
        <v>48</v>
      </c>
      <c r="AB266" s="2">
        <v>1</v>
      </c>
      <c r="AC266" s="2" t="s">
        <v>675</v>
      </c>
      <c r="AD266" s="2" t="s">
        <v>50</v>
      </c>
      <c r="AE266" s="4">
        <v>9.9544499999999996</v>
      </c>
      <c r="AF266" s="4">
        <v>-10.7318833</v>
      </c>
      <c r="AG266" s="2" t="s">
        <v>51</v>
      </c>
      <c r="AI266" s="2" t="s">
        <v>52</v>
      </c>
      <c r="AJ266" s="2" t="str">
        <f>IF(Table1[[#This Row],[Host]]="Mastomys natalensis", "Mn", IF(Table1[[#This Row],[Host]]="Homo Sapiens","Human","PROBLEMMEMEMMEMEMEMM"))</f>
        <v>Mn</v>
      </c>
      <c r="AK266" s="2" t="s">
        <v>53</v>
      </c>
      <c r="AL266" s="5">
        <v>41599</v>
      </c>
      <c r="AM266" s="6" t="s">
        <v>1099</v>
      </c>
      <c r="AO266" s="2" t="s">
        <v>746</v>
      </c>
    </row>
    <row r="267" spans="1:41" ht="15.6" x14ac:dyDescent="0.3">
      <c r="B267" s="2" t="str">
        <f>_xlfn.CONCAT(Table1[[#This Row],[Acession_no_.1]],"|",Table1[[#This Row],[Strain name]],"|",Table1[[#This Row],[host_simple]],"|",Table1[[#This Row],[Country]],"|",Table1[[#This Row],[date_text]])</f>
        <v>MW039388|NYA-44|Mn|Sierra_Leone|2014-04-28</v>
      </c>
      <c r="C267" s="2" t="s">
        <v>1373</v>
      </c>
      <c r="D267" s="2" t="str">
        <f>IF(ISNUMBER(MATCH(B267,finalSelection!$A$1:$A$497,0)),"yes","no")</f>
        <v>yes</v>
      </c>
      <c r="E267" s="9" t="s">
        <v>1032</v>
      </c>
      <c r="F267" s="9" t="s">
        <v>747</v>
      </c>
      <c r="G267" s="10"/>
      <c r="H267" s="10" t="s">
        <v>748</v>
      </c>
      <c r="I267" s="10" t="s">
        <v>457</v>
      </c>
      <c r="J267" s="10" t="s">
        <v>37</v>
      </c>
      <c r="K267" s="10" t="s">
        <v>38</v>
      </c>
      <c r="L267" s="11" t="s">
        <v>37</v>
      </c>
      <c r="M267" s="2" t="e">
        <f>VLOOKUP(C267,seqConcatenated!$A$1:$B$124,2, FALSE)</f>
        <v>#N/A</v>
      </c>
      <c r="N267" s="11" t="str">
        <f>IF(ISNA(Table1[[#This Row],[Column2]]),Table1[[#This Row],[comments2]], IF(O267="NA",M267,_xlfn.CONCAT(O267,"--",M267)))</f>
        <v>NA</v>
      </c>
      <c r="O267" s="10" t="s">
        <v>39</v>
      </c>
      <c r="P267" s="9" t="s">
        <v>749</v>
      </c>
      <c r="Q267" s="10" t="s">
        <v>750</v>
      </c>
      <c r="R267" s="10"/>
      <c r="S267" s="10" t="s">
        <v>42</v>
      </c>
      <c r="T267" s="10" t="s">
        <v>43</v>
      </c>
      <c r="U267" s="10" t="s">
        <v>44</v>
      </c>
      <c r="V267" s="10" t="s">
        <v>45</v>
      </c>
      <c r="W267" s="10">
        <v>3368</v>
      </c>
      <c r="X267" s="10" t="s">
        <v>46</v>
      </c>
      <c r="Y267" s="10" t="s">
        <v>47</v>
      </c>
      <c r="Z267" s="10"/>
      <c r="AA267" s="10" t="s">
        <v>48</v>
      </c>
      <c r="AB267" s="10">
        <v>1</v>
      </c>
      <c r="AC267" s="10" t="s">
        <v>751</v>
      </c>
      <c r="AD267" s="10" t="s">
        <v>1106</v>
      </c>
      <c r="AE267" s="9">
        <v>7.8637600000000001</v>
      </c>
      <c r="AF267" s="9" t="s">
        <v>752</v>
      </c>
      <c r="AG267" s="10" t="s">
        <v>753</v>
      </c>
      <c r="AH267" s="10"/>
      <c r="AI267" s="10" t="s">
        <v>52</v>
      </c>
      <c r="AJ267" s="10" t="str">
        <f>IF(Table1[[#This Row],[Host]]="Mastomys natalensis", "Mn", IF(Table1[[#This Row],[Host]]="Homo Sapiens","Human","PROBLEMMEMEMMEMEMEMM"))</f>
        <v>Mn</v>
      </c>
      <c r="AK267" s="10" t="s">
        <v>53</v>
      </c>
      <c r="AL267" s="12">
        <v>41757</v>
      </c>
      <c r="AM267" s="9" t="s">
        <v>1102</v>
      </c>
      <c r="AN267" s="10"/>
      <c r="AO267" s="10" t="s">
        <v>754</v>
      </c>
    </row>
    <row r="268" spans="1:41" ht="15.6" x14ac:dyDescent="0.3">
      <c r="B268" s="2" t="str">
        <f>_xlfn.CONCAT(Table1[[#This Row],[Acession_no_.1]],"|",Table1[[#This Row],[Strain name]],"|",Table1[[#This Row],[host_simple]],"|",Table1[[#This Row],[Country]],"|",Table1[[#This Row],[date_text]])</f>
        <v>MW039389|YAK-02|Mn|Sierra_Leone|2014-04-10</v>
      </c>
      <c r="C268" s="2" t="s">
        <v>1374</v>
      </c>
      <c r="D268" s="2" t="str">
        <f>IF(ISNUMBER(MATCH(B268,finalSelection!$A$1:$A$497,0)),"yes","no")</f>
        <v>yes</v>
      </c>
      <c r="E268" s="9" t="s">
        <v>1033</v>
      </c>
      <c r="F268" s="9" t="s">
        <v>755</v>
      </c>
      <c r="G268" s="10"/>
      <c r="H268" s="10" t="s">
        <v>756</v>
      </c>
      <c r="I268" s="10" t="s">
        <v>457</v>
      </c>
      <c r="J268" s="10" t="s">
        <v>37</v>
      </c>
      <c r="K268" s="10" t="s">
        <v>38</v>
      </c>
      <c r="L268" s="11" t="s">
        <v>37</v>
      </c>
      <c r="M268" s="2" t="e">
        <f>VLOOKUP(C268,seqConcatenated!$A$1:$B$124,2, FALSE)</f>
        <v>#N/A</v>
      </c>
      <c r="N268" s="11" t="str">
        <f>IF(ISNA(Table1[[#This Row],[Column2]]),Table1[[#This Row],[comments2]], IF(O268="NA",M268,_xlfn.CONCAT(O268,"--",M268)))</f>
        <v>NA</v>
      </c>
      <c r="O268" s="10" t="s">
        <v>39</v>
      </c>
      <c r="P268" s="9" t="s">
        <v>749</v>
      </c>
      <c r="Q268" s="10" t="s">
        <v>750</v>
      </c>
      <c r="R268" s="10"/>
      <c r="S268" s="10" t="s">
        <v>42</v>
      </c>
      <c r="T268" s="10" t="s">
        <v>43</v>
      </c>
      <c r="U268" s="10" t="s">
        <v>44</v>
      </c>
      <c r="V268" s="10" t="s">
        <v>45</v>
      </c>
      <c r="W268" s="10">
        <v>3368</v>
      </c>
      <c r="X268" s="10" t="s">
        <v>46</v>
      </c>
      <c r="Y268" s="10" t="s">
        <v>47</v>
      </c>
      <c r="Z268" s="10"/>
      <c r="AA268" s="10" t="s">
        <v>48</v>
      </c>
      <c r="AB268" s="10">
        <v>1</v>
      </c>
      <c r="AC268" s="10" t="s">
        <v>757</v>
      </c>
      <c r="AD268" s="10" t="s">
        <v>1106</v>
      </c>
      <c r="AE268" s="9" t="s">
        <v>758</v>
      </c>
      <c r="AF268" s="9" t="s">
        <v>759</v>
      </c>
      <c r="AG268" s="10" t="s">
        <v>753</v>
      </c>
      <c r="AH268" s="10"/>
      <c r="AI268" s="10" t="s">
        <v>52</v>
      </c>
      <c r="AJ268" s="10" t="str">
        <f>IF(Table1[[#This Row],[Host]]="Mastomys natalensis", "Mn", IF(Table1[[#This Row],[Host]]="Homo Sapiens","Human","PROBLEMMEMEMMEMEMEMM"))</f>
        <v>Mn</v>
      </c>
      <c r="AK268" s="10" t="s">
        <v>53</v>
      </c>
      <c r="AL268" s="12">
        <v>41739</v>
      </c>
      <c r="AM268" s="9" t="s">
        <v>1103</v>
      </c>
      <c r="AN268" s="10"/>
      <c r="AO268" s="10" t="s">
        <v>760</v>
      </c>
    </row>
    <row r="269" spans="1:41" ht="15.6" x14ac:dyDescent="0.3">
      <c r="B269" s="2" t="str">
        <f>_xlfn.CONCAT(Table1[[#This Row],[Acession_no_.1]],"|",Table1[[#This Row],[Strain name]],"|",Table1[[#This Row],[host_simple]],"|",Table1[[#This Row],[Country]],"|",Table1[[#This Row],[date_text]])</f>
        <v>MW039390|YAK-08|Mn|Sierra_Leone|2014-04-10</v>
      </c>
      <c r="C269" s="2" t="s">
        <v>1375</v>
      </c>
      <c r="D269" s="2" t="str">
        <f>IF(ISNUMBER(MATCH(B269,finalSelection!$A$1:$A$497,0)),"yes","no")</f>
        <v>yes</v>
      </c>
      <c r="E269" s="9" t="s">
        <v>1034</v>
      </c>
      <c r="F269" s="9" t="s">
        <v>761</v>
      </c>
      <c r="G269" s="10"/>
      <c r="H269" s="10" t="s">
        <v>762</v>
      </c>
      <c r="I269" s="10" t="s">
        <v>457</v>
      </c>
      <c r="J269" s="10" t="s">
        <v>37</v>
      </c>
      <c r="K269" s="10" t="s">
        <v>38</v>
      </c>
      <c r="L269" s="11" t="s">
        <v>37</v>
      </c>
      <c r="M269" s="2" t="e">
        <f>VLOOKUP(C269,seqConcatenated!$A$1:$B$124,2, FALSE)</f>
        <v>#N/A</v>
      </c>
      <c r="N269" s="11" t="str">
        <f>IF(ISNA(Table1[[#This Row],[Column2]]),Table1[[#This Row],[comments2]], IF(O269="NA",M269,_xlfn.CONCAT(O269,"--",M269)))</f>
        <v>NA</v>
      </c>
      <c r="O269" s="10" t="s">
        <v>39</v>
      </c>
      <c r="P269" s="9" t="s">
        <v>749</v>
      </c>
      <c r="Q269" s="10" t="s">
        <v>750</v>
      </c>
      <c r="R269" s="10"/>
      <c r="S269" s="10" t="s">
        <v>42</v>
      </c>
      <c r="T269" s="10" t="s">
        <v>43</v>
      </c>
      <c r="U269" s="10" t="s">
        <v>44</v>
      </c>
      <c r="V269" s="10" t="s">
        <v>45</v>
      </c>
      <c r="W269" s="10">
        <v>3298</v>
      </c>
      <c r="X269" s="10" t="s">
        <v>46</v>
      </c>
      <c r="Y269" s="10" t="s">
        <v>47</v>
      </c>
      <c r="Z269" s="10"/>
      <c r="AA269" s="10" t="s">
        <v>48</v>
      </c>
      <c r="AB269" s="10">
        <v>1</v>
      </c>
      <c r="AC269" s="10" t="s">
        <v>757</v>
      </c>
      <c r="AD269" s="10" t="s">
        <v>1106</v>
      </c>
      <c r="AE269" s="9" t="s">
        <v>758</v>
      </c>
      <c r="AF269" s="9" t="s">
        <v>759</v>
      </c>
      <c r="AG269" s="10" t="s">
        <v>753</v>
      </c>
      <c r="AH269" s="10"/>
      <c r="AI269" s="10" t="s">
        <v>52</v>
      </c>
      <c r="AJ269" s="10" t="str">
        <f>IF(Table1[[#This Row],[Host]]="Mastomys natalensis", "Mn", IF(Table1[[#This Row],[Host]]="Homo Sapiens","Human","PROBLEMMEMEMMEMEMEMM"))</f>
        <v>Mn</v>
      </c>
      <c r="AK269" s="10" t="s">
        <v>53</v>
      </c>
      <c r="AL269" s="12">
        <v>41739</v>
      </c>
      <c r="AM269" s="9" t="s">
        <v>1103</v>
      </c>
      <c r="AN269" s="10"/>
      <c r="AO269" s="10" t="s">
        <v>763</v>
      </c>
    </row>
    <row r="270" spans="1:41" ht="15.6" x14ac:dyDescent="0.3">
      <c r="B270" s="2" t="str">
        <f>_xlfn.CONCAT(Table1[[#This Row],[Acession_no_.1]],"|",Table1[[#This Row],[Strain name]],"|",Table1[[#This Row],[host_simple]],"|",Table1[[#This Row],[Country]],"|",Table1[[#This Row],[date_text]])</f>
        <v>MW039391|YAK-20|Mn|Sierra_Leone|2014-04-11</v>
      </c>
      <c r="C270" s="2" t="s">
        <v>1376</v>
      </c>
      <c r="D270" s="2" t="str">
        <f>IF(ISNUMBER(MATCH(B270,finalSelection!$A$1:$A$497,0)),"yes","no")</f>
        <v>yes</v>
      </c>
      <c r="E270" s="9" t="s">
        <v>1035</v>
      </c>
      <c r="F270" s="9" t="s">
        <v>764</v>
      </c>
      <c r="G270" s="10"/>
      <c r="H270" s="10" t="s">
        <v>765</v>
      </c>
      <c r="I270" s="10" t="s">
        <v>457</v>
      </c>
      <c r="J270" s="10" t="s">
        <v>37</v>
      </c>
      <c r="K270" s="10" t="s">
        <v>38</v>
      </c>
      <c r="L270" s="11" t="s">
        <v>37</v>
      </c>
      <c r="M270" s="2" t="e">
        <f>VLOOKUP(C270,seqConcatenated!$A$1:$B$124,2, FALSE)</f>
        <v>#N/A</v>
      </c>
      <c r="N270" s="11" t="str">
        <f>IF(ISNA(Table1[[#This Row],[Column2]]),Table1[[#This Row],[comments2]], IF(O270="NA",M270,_xlfn.CONCAT(O270,"--",M270)))</f>
        <v>NA</v>
      </c>
      <c r="O270" s="10" t="s">
        <v>39</v>
      </c>
      <c r="P270" s="9" t="s">
        <v>749</v>
      </c>
      <c r="Q270" s="10" t="s">
        <v>750</v>
      </c>
      <c r="R270" s="10"/>
      <c r="S270" s="10" t="s">
        <v>42</v>
      </c>
      <c r="T270" s="10" t="s">
        <v>43</v>
      </c>
      <c r="U270" s="10" t="s">
        <v>44</v>
      </c>
      <c r="V270" s="10" t="s">
        <v>45</v>
      </c>
      <c r="W270" s="10">
        <v>3368</v>
      </c>
      <c r="X270" s="10" t="s">
        <v>46</v>
      </c>
      <c r="Y270" s="10" t="s">
        <v>47</v>
      </c>
      <c r="Z270" s="10"/>
      <c r="AA270" s="10" t="s">
        <v>48</v>
      </c>
      <c r="AB270" s="10">
        <v>1</v>
      </c>
      <c r="AC270" s="10" t="s">
        <v>757</v>
      </c>
      <c r="AD270" s="10" t="s">
        <v>1106</v>
      </c>
      <c r="AE270" s="9" t="s">
        <v>758</v>
      </c>
      <c r="AF270" s="9" t="s">
        <v>759</v>
      </c>
      <c r="AG270" s="10" t="s">
        <v>753</v>
      </c>
      <c r="AH270" s="10"/>
      <c r="AI270" s="10" t="s">
        <v>52</v>
      </c>
      <c r="AJ270" s="10" t="str">
        <f>IF(Table1[[#This Row],[Host]]="Mastomys natalensis", "Mn", IF(Table1[[#This Row],[Host]]="Homo Sapiens","Human","PROBLEMMEMEMMEMEMEMM"))</f>
        <v>Mn</v>
      </c>
      <c r="AK270" s="10" t="s">
        <v>53</v>
      </c>
      <c r="AL270" s="12">
        <v>41740</v>
      </c>
      <c r="AM270" s="9" t="s">
        <v>1104</v>
      </c>
      <c r="AN270" s="10"/>
      <c r="AO270" s="10" t="s">
        <v>766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E6C5-05C0-4B12-8E00-4AED4AA12D8A}">
  <dimension ref="A1:G119"/>
  <sheetViews>
    <sheetView workbookViewId="0">
      <selection activeCell="B21" sqref="B21"/>
    </sheetView>
  </sheetViews>
  <sheetFormatPr defaultRowHeight="14.4" x14ac:dyDescent="0.3"/>
  <cols>
    <col min="1" max="1" width="43.6640625" bestFit="1" customWidth="1"/>
    <col min="2" max="2" width="10.44140625" bestFit="1" customWidth="1"/>
    <col min="5" max="5" width="15.5546875" customWidth="1"/>
  </cols>
  <sheetData>
    <row r="1" spans="1:7" x14ac:dyDescent="0.3">
      <c r="A1" t="s">
        <v>1873</v>
      </c>
      <c r="B1" t="s">
        <v>1874</v>
      </c>
      <c r="C1" t="s">
        <v>1887</v>
      </c>
      <c r="D1" t="s">
        <v>1886</v>
      </c>
      <c r="E1" t="s">
        <v>1888</v>
      </c>
      <c r="F1" t="s">
        <v>25</v>
      </c>
      <c r="G1" t="s">
        <v>26</v>
      </c>
    </row>
    <row r="2" spans="1:7" x14ac:dyDescent="0.3">
      <c r="A2" t="s">
        <v>1465</v>
      </c>
      <c r="B2" t="s">
        <v>767</v>
      </c>
      <c r="C2" t="s">
        <v>50</v>
      </c>
      <c r="E2" t="s">
        <v>1875</v>
      </c>
      <c r="F2">
        <v>10.216833299999999</v>
      </c>
      <c r="G2">
        <v>-10.6887667</v>
      </c>
    </row>
    <row r="3" spans="1:7" x14ac:dyDescent="0.3">
      <c r="A3" t="s">
        <v>1470</v>
      </c>
      <c r="B3" t="s">
        <v>769</v>
      </c>
      <c r="C3" t="s">
        <v>50</v>
      </c>
      <c r="E3" t="s">
        <v>1875</v>
      </c>
      <c r="F3">
        <v>10.216833299999999</v>
      </c>
      <c r="G3">
        <v>-10.6887667</v>
      </c>
    </row>
    <row r="4" spans="1:7" x14ac:dyDescent="0.3">
      <c r="A4" t="s">
        <v>1501</v>
      </c>
      <c r="B4" t="s">
        <v>773</v>
      </c>
      <c r="C4" t="s">
        <v>50</v>
      </c>
      <c r="E4" t="s">
        <v>1875</v>
      </c>
      <c r="F4">
        <v>10.216833299999999</v>
      </c>
      <c r="G4">
        <v>-10.6887667</v>
      </c>
    </row>
    <row r="5" spans="1:7" x14ac:dyDescent="0.3">
      <c r="A5" t="s">
        <v>1569</v>
      </c>
      <c r="B5" t="s">
        <v>775</v>
      </c>
      <c r="C5" t="s">
        <v>50</v>
      </c>
      <c r="E5" t="s">
        <v>1875</v>
      </c>
      <c r="F5">
        <v>10.216833299999999</v>
      </c>
      <c r="G5">
        <v>-10.6887667</v>
      </c>
    </row>
    <row r="6" spans="1:7" x14ac:dyDescent="0.3">
      <c r="A6" t="s">
        <v>1514</v>
      </c>
      <c r="B6" t="s">
        <v>779</v>
      </c>
      <c r="C6" t="s">
        <v>50</v>
      </c>
      <c r="E6" t="s">
        <v>1875</v>
      </c>
      <c r="F6">
        <v>10.216833299999999</v>
      </c>
      <c r="G6">
        <v>-10.6887667</v>
      </c>
    </row>
    <row r="7" spans="1:7" x14ac:dyDescent="0.3">
      <c r="A7" t="s">
        <v>1467</v>
      </c>
      <c r="B7" t="s">
        <v>781</v>
      </c>
      <c r="C7" t="s">
        <v>50</v>
      </c>
      <c r="E7" t="s">
        <v>1875</v>
      </c>
      <c r="F7">
        <v>10.216833299999999</v>
      </c>
      <c r="G7">
        <v>-10.6887667</v>
      </c>
    </row>
    <row r="8" spans="1:7" x14ac:dyDescent="0.3">
      <c r="A8" t="s">
        <v>1468</v>
      </c>
      <c r="B8" t="s">
        <v>783</v>
      </c>
      <c r="C8" t="s">
        <v>50</v>
      </c>
      <c r="E8" t="s">
        <v>1875</v>
      </c>
      <c r="F8">
        <v>10.216833299999999</v>
      </c>
      <c r="G8">
        <v>-10.6887667</v>
      </c>
    </row>
    <row r="9" spans="1:7" x14ac:dyDescent="0.3">
      <c r="A9" t="s">
        <v>1515</v>
      </c>
      <c r="B9" t="s">
        <v>785</v>
      </c>
      <c r="C9" t="s">
        <v>50</v>
      </c>
      <c r="E9" t="s">
        <v>1875</v>
      </c>
      <c r="F9">
        <v>10.216833299999999</v>
      </c>
      <c r="G9">
        <v>-10.6887667</v>
      </c>
    </row>
    <row r="10" spans="1:7" x14ac:dyDescent="0.3">
      <c r="A10" t="s">
        <v>1502</v>
      </c>
      <c r="B10" t="s">
        <v>787</v>
      </c>
      <c r="C10" t="s">
        <v>50</v>
      </c>
      <c r="E10" t="s">
        <v>1875</v>
      </c>
      <c r="F10">
        <v>10.216833299999999</v>
      </c>
      <c r="G10">
        <v>-10.6887667</v>
      </c>
    </row>
    <row r="11" spans="1:7" x14ac:dyDescent="0.3">
      <c r="A11" t="s">
        <v>1571</v>
      </c>
      <c r="B11" t="s">
        <v>791</v>
      </c>
      <c r="C11" t="s">
        <v>50</v>
      </c>
      <c r="E11" t="s">
        <v>1875</v>
      </c>
      <c r="F11">
        <v>10.216833299999999</v>
      </c>
      <c r="G11">
        <v>-10.6887667</v>
      </c>
    </row>
    <row r="12" spans="1:7" x14ac:dyDescent="0.3">
      <c r="A12" t="s">
        <v>1511</v>
      </c>
      <c r="B12" t="s">
        <v>793</v>
      </c>
      <c r="C12" t="s">
        <v>50</v>
      </c>
      <c r="E12" t="s">
        <v>1875</v>
      </c>
      <c r="F12">
        <v>10.216833299999999</v>
      </c>
      <c r="G12">
        <v>-10.6887667</v>
      </c>
    </row>
    <row r="13" spans="1:7" x14ac:dyDescent="0.3">
      <c r="A13" t="s">
        <v>1516</v>
      </c>
      <c r="B13" t="s">
        <v>795</v>
      </c>
      <c r="C13" t="s">
        <v>50</v>
      </c>
      <c r="E13" t="s">
        <v>1875</v>
      </c>
      <c r="F13">
        <v>10.216833299999999</v>
      </c>
      <c r="G13">
        <v>-10.6887667</v>
      </c>
    </row>
    <row r="14" spans="1:7" x14ac:dyDescent="0.3">
      <c r="A14" t="s">
        <v>1471</v>
      </c>
      <c r="B14" t="s">
        <v>797</v>
      </c>
      <c r="C14" t="s">
        <v>50</v>
      </c>
      <c r="E14" t="s">
        <v>1875</v>
      </c>
      <c r="F14">
        <v>10.216833299999999</v>
      </c>
      <c r="G14">
        <v>-10.6887667</v>
      </c>
    </row>
    <row r="15" spans="1:7" x14ac:dyDescent="0.3">
      <c r="A15" t="s">
        <v>1466</v>
      </c>
      <c r="B15" t="s">
        <v>799</v>
      </c>
      <c r="C15" t="s">
        <v>50</v>
      </c>
      <c r="E15" t="s">
        <v>1875</v>
      </c>
      <c r="F15">
        <v>10.216833299999999</v>
      </c>
      <c r="G15">
        <v>-10.6887667</v>
      </c>
    </row>
    <row r="16" spans="1:7" x14ac:dyDescent="0.3">
      <c r="A16" t="s">
        <v>1512</v>
      </c>
      <c r="B16" t="s">
        <v>801</v>
      </c>
      <c r="C16" t="s">
        <v>50</v>
      </c>
      <c r="E16" t="s">
        <v>1875</v>
      </c>
      <c r="F16">
        <v>10.216833299999999</v>
      </c>
      <c r="G16">
        <v>-10.6887667</v>
      </c>
    </row>
    <row r="17" spans="1:7" x14ac:dyDescent="0.3">
      <c r="A17" t="s">
        <v>1570</v>
      </c>
      <c r="B17" t="s">
        <v>803</v>
      </c>
      <c r="C17" t="s">
        <v>50</v>
      </c>
      <c r="E17" t="s">
        <v>1875</v>
      </c>
      <c r="F17">
        <v>10.216833299999999</v>
      </c>
      <c r="G17">
        <v>-10.6887667</v>
      </c>
    </row>
    <row r="18" spans="1:7" x14ac:dyDescent="0.3">
      <c r="A18" t="s">
        <v>1513</v>
      </c>
      <c r="B18" t="s">
        <v>805</v>
      </c>
      <c r="C18" t="s">
        <v>50</v>
      </c>
      <c r="E18" t="s">
        <v>1875</v>
      </c>
      <c r="F18">
        <v>10.216833299999999</v>
      </c>
      <c r="G18">
        <v>-10.6887667</v>
      </c>
    </row>
    <row r="19" spans="1:7" x14ac:dyDescent="0.3">
      <c r="A19" t="s">
        <v>1503</v>
      </c>
      <c r="B19" t="s">
        <v>807</v>
      </c>
      <c r="C19" t="s">
        <v>50</v>
      </c>
      <c r="E19" t="s">
        <v>1875</v>
      </c>
      <c r="F19">
        <v>10.216833299999999</v>
      </c>
      <c r="G19">
        <v>-10.6887667</v>
      </c>
    </row>
    <row r="20" spans="1:7" x14ac:dyDescent="0.3">
      <c r="A20" t="s">
        <v>1491</v>
      </c>
      <c r="B20" t="s">
        <v>810</v>
      </c>
      <c r="C20" t="s">
        <v>50</v>
      </c>
      <c r="E20" t="s">
        <v>1876</v>
      </c>
      <c r="F20">
        <v>10.1431667</v>
      </c>
      <c r="G20">
        <v>-10.60505</v>
      </c>
    </row>
    <row r="21" spans="1:7" x14ac:dyDescent="0.3">
      <c r="A21" t="s">
        <v>1590</v>
      </c>
      <c r="B21" t="s">
        <v>814</v>
      </c>
      <c r="C21" t="s">
        <v>50</v>
      </c>
      <c r="E21" t="s">
        <v>1876</v>
      </c>
      <c r="F21">
        <v>10.1431667</v>
      </c>
      <c r="G21">
        <v>-10.60505</v>
      </c>
    </row>
    <row r="22" spans="1:7" x14ac:dyDescent="0.3">
      <c r="A22" t="s">
        <v>1497</v>
      </c>
      <c r="B22" t="s">
        <v>818</v>
      </c>
      <c r="C22" t="s">
        <v>50</v>
      </c>
      <c r="E22" t="s">
        <v>1876</v>
      </c>
      <c r="F22">
        <v>10.1431667</v>
      </c>
      <c r="G22">
        <v>-10.60505</v>
      </c>
    </row>
    <row r="23" spans="1:7" x14ac:dyDescent="0.3">
      <c r="A23" t="s">
        <v>1492</v>
      </c>
      <c r="B23" t="s">
        <v>820</v>
      </c>
      <c r="C23" t="s">
        <v>50</v>
      </c>
      <c r="E23" t="s">
        <v>1876</v>
      </c>
      <c r="F23">
        <v>10.1431667</v>
      </c>
      <c r="G23">
        <v>-10.60505</v>
      </c>
    </row>
    <row r="24" spans="1:7" x14ac:dyDescent="0.3">
      <c r="A24" t="s">
        <v>1494</v>
      </c>
      <c r="B24" t="s">
        <v>822</v>
      </c>
      <c r="C24" t="s">
        <v>50</v>
      </c>
      <c r="E24" t="s">
        <v>1876</v>
      </c>
      <c r="F24">
        <v>10.1431667</v>
      </c>
      <c r="G24">
        <v>-10.60505</v>
      </c>
    </row>
    <row r="25" spans="1:7" x14ac:dyDescent="0.3">
      <c r="A25" t="s">
        <v>1495</v>
      </c>
      <c r="B25" t="s">
        <v>824</v>
      </c>
      <c r="C25" t="s">
        <v>50</v>
      </c>
      <c r="E25" t="s">
        <v>1876</v>
      </c>
      <c r="F25">
        <v>10.1431667</v>
      </c>
      <c r="G25">
        <v>-10.60505</v>
      </c>
    </row>
    <row r="26" spans="1:7" x14ac:dyDescent="0.3">
      <c r="A26" t="s">
        <v>1489</v>
      </c>
      <c r="B26" t="s">
        <v>828</v>
      </c>
      <c r="C26" t="s">
        <v>50</v>
      </c>
      <c r="E26" t="s">
        <v>1876</v>
      </c>
      <c r="F26">
        <v>10.1431667</v>
      </c>
      <c r="G26">
        <v>-10.60505</v>
      </c>
    </row>
    <row r="27" spans="1:7" x14ac:dyDescent="0.3">
      <c r="A27" t="s">
        <v>1498</v>
      </c>
      <c r="B27" t="s">
        <v>830</v>
      </c>
      <c r="C27" t="s">
        <v>50</v>
      </c>
      <c r="E27" t="s">
        <v>1876</v>
      </c>
      <c r="F27">
        <v>10.1431667</v>
      </c>
      <c r="G27">
        <v>-10.60505</v>
      </c>
    </row>
    <row r="28" spans="1:7" x14ac:dyDescent="0.3">
      <c r="A28" t="s">
        <v>1469</v>
      </c>
      <c r="B28" t="s">
        <v>832</v>
      </c>
      <c r="C28" t="s">
        <v>50</v>
      </c>
      <c r="E28" t="s">
        <v>1876</v>
      </c>
      <c r="F28">
        <v>10.1431667</v>
      </c>
      <c r="G28">
        <v>-10.60505</v>
      </c>
    </row>
    <row r="29" spans="1:7" x14ac:dyDescent="0.3">
      <c r="A29" t="s">
        <v>1578</v>
      </c>
      <c r="B29" t="s">
        <v>834</v>
      </c>
      <c r="C29" t="s">
        <v>50</v>
      </c>
      <c r="E29" t="s">
        <v>1876</v>
      </c>
      <c r="F29">
        <v>10.1431667</v>
      </c>
      <c r="G29">
        <v>-10.60505</v>
      </c>
    </row>
    <row r="30" spans="1:7" x14ac:dyDescent="0.3">
      <c r="A30" t="s">
        <v>1481</v>
      </c>
      <c r="B30" t="s">
        <v>836</v>
      </c>
      <c r="C30" t="s">
        <v>50</v>
      </c>
      <c r="E30" t="s">
        <v>1876</v>
      </c>
      <c r="F30">
        <v>10.1431667</v>
      </c>
      <c r="G30">
        <v>-10.60505</v>
      </c>
    </row>
    <row r="31" spans="1:7" x14ac:dyDescent="0.3">
      <c r="A31" t="s">
        <v>1496</v>
      </c>
      <c r="B31" t="s">
        <v>839</v>
      </c>
      <c r="C31" t="s">
        <v>50</v>
      </c>
      <c r="E31" t="s">
        <v>1876</v>
      </c>
      <c r="F31">
        <v>10.1431667</v>
      </c>
      <c r="G31">
        <v>-10.60505</v>
      </c>
    </row>
    <row r="32" spans="1:7" x14ac:dyDescent="0.3">
      <c r="A32" t="s">
        <v>1493</v>
      </c>
      <c r="B32" t="s">
        <v>841</v>
      </c>
      <c r="C32" t="s">
        <v>50</v>
      </c>
      <c r="E32" t="s">
        <v>1876</v>
      </c>
      <c r="F32">
        <v>10.1431667</v>
      </c>
      <c r="G32">
        <v>-10.60505</v>
      </c>
    </row>
    <row r="33" spans="1:7" x14ac:dyDescent="0.3">
      <c r="A33" t="s">
        <v>1490</v>
      </c>
      <c r="B33" t="s">
        <v>847</v>
      </c>
      <c r="C33" t="s">
        <v>50</v>
      </c>
      <c r="E33" t="s">
        <v>1876</v>
      </c>
      <c r="F33">
        <v>10.1431667</v>
      </c>
      <c r="G33">
        <v>-10.60505</v>
      </c>
    </row>
    <row r="34" spans="1:7" x14ac:dyDescent="0.3">
      <c r="A34" t="s">
        <v>1579</v>
      </c>
      <c r="B34" t="s">
        <v>849</v>
      </c>
      <c r="C34" t="s">
        <v>50</v>
      </c>
      <c r="E34" t="s">
        <v>1876</v>
      </c>
      <c r="F34">
        <v>10.1431667</v>
      </c>
      <c r="G34">
        <v>-10.60505</v>
      </c>
    </row>
    <row r="35" spans="1:7" x14ac:dyDescent="0.3">
      <c r="A35" t="s">
        <v>1500</v>
      </c>
      <c r="B35" t="s">
        <v>851</v>
      </c>
      <c r="C35" t="s">
        <v>50</v>
      </c>
      <c r="E35" t="s">
        <v>1876</v>
      </c>
      <c r="F35">
        <v>10.1431667</v>
      </c>
      <c r="G35">
        <v>-10.60505</v>
      </c>
    </row>
    <row r="36" spans="1:7" x14ac:dyDescent="0.3">
      <c r="A36" t="s">
        <v>1499</v>
      </c>
      <c r="B36" t="s">
        <v>853</v>
      </c>
      <c r="C36" t="s">
        <v>50</v>
      </c>
      <c r="E36" t="s">
        <v>1876</v>
      </c>
      <c r="F36">
        <v>10.1431667</v>
      </c>
      <c r="G36">
        <v>-10.60505</v>
      </c>
    </row>
    <row r="37" spans="1:7" x14ac:dyDescent="0.3">
      <c r="A37" t="s">
        <v>1482</v>
      </c>
      <c r="B37" t="s">
        <v>855</v>
      </c>
      <c r="C37" t="s">
        <v>50</v>
      </c>
      <c r="E37" t="s">
        <v>1876</v>
      </c>
      <c r="F37">
        <v>10.1431667</v>
      </c>
      <c r="G37">
        <v>-10.60505</v>
      </c>
    </row>
    <row r="38" spans="1:7" x14ac:dyDescent="0.3">
      <c r="A38" t="s">
        <v>1483</v>
      </c>
      <c r="B38" t="s">
        <v>857</v>
      </c>
      <c r="C38" t="s">
        <v>50</v>
      </c>
      <c r="E38" t="s">
        <v>1876</v>
      </c>
      <c r="F38">
        <v>10.1431667</v>
      </c>
      <c r="G38">
        <v>-10.60505</v>
      </c>
    </row>
    <row r="39" spans="1:7" x14ac:dyDescent="0.3">
      <c r="A39" t="s">
        <v>1562</v>
      </c>
      <c r="B39" t="s">
        <v>859</v>
      </c>
      <c r="C39" t="s">
        <v>50</v>
      </c>
      <c r="E39" t="s">
        <v>1877</v>
      </c>
      <c r="F39">
        <v>9.8068329999999992</v>
      </c>
      <c r="G39">
        <v>-10.863267</v>
      </c>
    </row>
    <row r="40" spans="1:7" x14ac:dyDescent="0.3">
      <c r="A40" t="s">
        <v>1580</v>
      </c>
      <c r="B40" t="s">
        <v>861</v>
      </c>
      <c r="C40" t="s">
        <v>50</v>
      </c>
      <c r="E40" t="s">
        <v>1877</v>
      </c>
      <c r="F40">
        <v>9.8068329999999992</v>
      </c>
      <c r="G40">
        <v>-10.863267</v>
      </c>
    </row>
    <row r="41" spans="1:7" x14ac:dyDescent="0.3">
      <c r="A41" t="s">
        <v>1583</v>
      </c>
      <c r="B41" t="s">
        <v>868</v>
      </c>
      <c r="C41" t="s">
        <v>50</v>
      </c>
      <c r="E41" t="s">
        <v>1877</v>
      </c>
      <c r="F41">
        <v>9.8068329999999992</v>
      </c>
      <c r="G41">
        <v>-10.863267</v>
      </c>
    </row>
    <row r="42" spans="1:7" x14ac:dyDescent="0.3">
      <c r="A42" t="s">
        <v>1588</v>
      </c>
      <c r="B42" t="s">
        <v>870</v>
      </c>
      <c r="C42" t="s">
        <v>50</v>
      </c>
      <c r="E42" t="s">
        <v>1877</v>
      </c>
      <c r="F42">
        <v>9.8068329999999992</v>
      </c>
      <c r="G42">
        <v>-10.863267</v>
      </c>
    </row>
    <row r="43" spans="1:7" x14ac:dyDescent="0.3">
      <c r="A43" t="s">
        <v>1584</v>
      </c>
      <c r="B43" t="s">
        <v>872</v>
      </c>
      <c r="C43" t="s">
        <v>50</v>
      </c>
      <c r="E43" t="s">
        <v>1877</v>
      </c>
      <c r="F43">
        <v>9.8068329999999992</v>
      </c>
      <c r="G43">
        <v>-10.863267</v>
      </c>
    </row>
    <row r="44" spans="1:7" x14ac:dyDescent="0.3">
      <c r="A44" t="s">
        <v>1589</v>
      </c>
      <c r="B44" t="s">
        <v>879</v>
      </c>
      <c r="C44" t="s">
        <v>50</v>
      </c>
      <c r="E44" t="s">
        <v>1877</v>
      </c>
      <c r="F44">
        <v>9.8068329999999992</v>
      </c>
      <c r="G44">
        <v>-10.863267</v>
      </c>
    </row>
    <row r="45" spans="1:7" x14ac:dyDescent="0.3">
      <c r="A45" t="s">
        <v>1581</v>
      </c>
      <c r="B45" t="s">
        <v>881</v>
      </c>
      <c r="C45" t="s">
        <v>50</v>
      </c>
      <c r="E45" t="s">
        <v>1877</v>
      </c>
      <c r="F45">
        <v>9.8068329999999992</v>
      </c>
      <c r="G45">
        <v>-10.863267</v>
      </c>
    </row>
    <row r="46" spans="1:7" x14ac:dyDescent="0.3">
      <c r="A46" t="s">
        <v>1582</v>
      </c>
      <c r="B46" t="s">
        <v>883</v>
      </c>
      <c r="C46" t="s">
        <v>50</v>
      </c>
      <c r="E46" t="s">
        <v>1877</v>
      </c>
      <c r="F46">
        <v>9.8068329999999992</v>
      </c>
      <c r="G46">
        <v>-10.863267</v>
      </c>
    </row>
    <row r="47" spans="1:7" x14ac:dyDescent="0.3">
      <c r="A47" t="s">
        <v>1585</v>
      </c>
      <c r="B47" t="s">
        <v>886</v>
      </c>
      <c r="C47" t="s">
        <v>50</v>
      </c>
      <c r="E47" t="s">
        <v>1877</v>
      </c>
      <c r="F47">
        <v>9.8068329999999992</v>
      </c>
      <c r="G47">
        <v>-10.863267</v>
      </c>
    </row>
    <row r="48" spans="1:7" x14ac:dyDescent="0.3">
      <c r="A48" t="s">
        <v>1541</v>
      </c>
      <c r="B48" t="s">
        <v>889</v>
      </c>
      <c r="C48" t="s">
        <v>50</v>
      </c>
      <c r="E48" t="s">
        <v>1877</v>
      </c>
      <c r="F48">
        <v>9.8068329999999992</v>
      </c>
      <c r="G48">
        <v>-10.863267</v>
      </c>
    </row>
    <row r="49" spans="1:7" x14ac:dyDescent="0.3">
      <c r="A49" t="s">
        <v>1587</v>
      </c>
      <c r="B49" t="s">
        <v>891</v>
      </c>
      <c r="C49" t="s">
        <v>50</v>
      </c>
      <c r="E49" t="s">
        <v>1877</v>
      </c>
      <c r="F49">
        <v>9.8068329999999992</v>
      </c>
      <c r="G49">
        <v>-10.863267</v>
      </c>
    </row>
    <row r="50" spans="1:7" x14ac:dyDescent="0.3">
      <c r="A50" t="s">
        <v>1558</v>
      </c>
      <c r="B50" t="s">
        <v>893</v>
      </c>
      <c r="C50" t="s">
        <v>50</v>
      </c>
      <c r="E50" t="s">
        <v>1877</v>
      </c>
      <c r="F50">
        <v>9.8068329999999992</v>
      </c>
      <c r="G50">
        <v>-10.863267</v>
      </c>
    </row>
    <row r="51" spans="1:7" x14ac:dyDescent="0.3">
      <c r="A51" t="s">
        <v>1542</v>
      </c>
      <c r="B51" t="s">
        <v>895</v>
      </c>
      <c r="C51" t="s">
        <v>50</v>
      </c>
      <c r="E51" t="s">
        <v>1877</v>
      </c>
      <c r="F51">
        <v>9.8068329999999992</v>
      </c>
      <c r="G51">
        <v>-10.863267</v>
      </c>
    </row>
    <row r="52" spans="1:7" x14ac:dyDescent="0.3">
      <c r="A52" t="s">
        <v>1517</v>
      </c>
      <c r="B52" t="s">
        <v>897</v>
      </c>
      <c r="C52" t="s">
        <v>50</v>
      </c>
      <c r="E52" t="s">
        <v>1877</v>
      </c>
      <c r="F52">
        <v>9.8068329999999992</v>
      </c>
      <c r="G52">
        <v>-10.863267</v>
      </c>
    </row>
    <row r="53" spans="1:7" x14ac:dyDescent="0.3">
      <c r="A53" t="s">
        <v>1560</v>
      </c>
      <c r="B53" t="s">
        <v>899</v>
      </c>
      <c r="C53" t="s">
        <v>50</v>
      </c>
      <c r="E53" t="s">
        <v>1877</v>
      </c>
      <c r="F53">
        <v>9.8068329999999992</v>
      </c>
      <c r="G53">
        <v>-10.863267</v>
      </c>
    </row>
    <row r="54" spans="1:7" x14ac:dyDescent="0.3">
      <c r="A54" t="s">
        <v>1559</v>
      </c>
      <c r="B54" t="s">
        <v>901</v>
      </c>
      <c r="C54" t="s">
        <v>50</v>
      </c>
      <c r="E54" t="s">
        <v>1877</v>
      </c>
      <c r="F54">
        <v>9.8068329999999992</v>
      </c>
      <c r="G54">
        <v>-10.863267</v>
      </c>
    </row>
    <row r="55" spans="1:7" x14ac:dyDescent="0.3">
      <c r="A55" t="s">
        <v>1563</v>
      </c>
      <c r="B55" t="s">
        <v>905</v>
      </c>
      <c r="C55" t="s">
        <v>50</v>
      </c>
      <c r="E55" t="s">
        <v>1877</v>
      </c>
      <c r="F55">
        <v>9.8068329999999992</v>
      </c>
      <c r="G55">
        <v>-10.863267</v>
      </c>
    </row>
    <row r="56" spans="1:7" x14ac:dyDescent="0.3">
      <c r="A56" t="s">
        <v>1586</v>
      </c>
      <c r="B56" t="s">
        <v>907</v>
      </c>
      <c r="C56" t="s">
        <v>50</v>
      </c>
      <c r="E56" t="s">
        <v>1877</v>
      </c>
      <c r="F56">
        <v>9.8068329999999992</v>
      </c>
      <c r="G56">
        <v>-10.863267</v>
      </c>
    </row>
    <row r="57" spans="1:7" x14ac:dyDescent="0.3">
      <c r="A57" t="s">
        <v>1525</v>
      </c>
      <c r="B57" t="s">
        <v>915</v>
      </c>
      <c r="C57" t="s">
        <v>50</v>
      </c>
      <c r="E57" t="s">
        <v>1878</v>
      </c>
      <c r="F57">
        <v>9.9422666999999993</v>
      </c>
      <c r="G57">
        <v>-10.893033300000001</v>
      </c>
    </row>
    <row r="58" spans="1:7" x14ac:dyDescent="0.3">
      <c r="A58" t="s">
        <v>1527</v>
      </c>
      <c r="B58" t="s">
        <v>917</v>
      </c>
      <c r="C58" t="s">
        <v>50</v>
      </c>
      <c r="E58" t="s">
        <v>1878</v>
      </c>
      <c r="F58">
        <v>9.9422666999999993</v>
      </c>
      <c r="G58">
        <v>-10.893033300000001</v>
      </c>
    </row>
    <row r="59" spans="1:7" x14ac:dyDescent="0.3">
      <c r="A59" t="s">
        <v>1526</v>
      </c>
      <c r="B59" t="s">
        <v>919</v>
      </c>
      <c r="C59" t="s">
        <v>50</v>
      </c>
      <c r="E59" t="s">
        <v>1878</v>
      </c>
      <c r="F59">
        <v>9.9422666999999993</v>
      </c>
      <c r="G59">
        <v>-10.893033300000001</v>
      </c>
    </row>
    <row r="60" spans="1:7" x14ac:dyDescent="0.3">
      <c r="A60" t="s">
        <v>1537</v>
      </c>
      <c r="B60" t="s">
        <v>923</v>
      </c>
      <c r="C60" t="s">
        <v>50</v>
      </c>
      <c r="E60" t="s">
        <v>1879</v>
      </c>
      <c r="F60">
        <v>10.0578167</v>
      </c>
      <c r="G60">
        <v>-10.7383667</v>
      </c>
    </row>
    <row r="61" spans="1:7" x14ac:dyDescent="0.3">
      <c r="A61" t="s">
        <v>1485</v>
      </c>
      <c r="B61" t="s">
        <v>925</v>
      </c>
      <c r="C61" t="s">
        <v>50</v>
      </c>
      <c r="E61" t="s">
        <v>1880</v>
      </c>
      <c r="F61">
        <v>9.5860900000000004</v>
      </c>
      <c r="G61">
        <v>-10.49173</v>
      </c>
    </row>
    <row r="62" spans="1:7" x14ac:dyDescent="0.3">
      <c r="A62" t="s">
        <v>1566</v>
      </c>
      <c r="B62" t="s">
        <v>927</v>
      </c>
      <c r="C62" t="s">
        <v>50</v>
      </c>
      <c r="E62" t="s">
        <v>1881</v>
      </c>
      <c r="F62">
        <v>10.056783299999999</v>
      </c>
      <c r="G62">
        <v>-10.665833299999999</v>
      </c>
    </row>
    <row r="63" spans="1:7" x14ac:dyDescent="0.3">
      <c r="A63" t="s">
        <v>1486</v>
      </c>
      <c r="B63" t="s">
        <v>929</v>
      </c>
      <c r="C63" t="s">
        <v>50</v>
      </c>
      <c r="E63" t="s">
        <v>1881</v>
      </c>
      <c r="F63">
        <v>10.056783299999999</v>
      </c>
      <c r="G63">
        <v>-10.665833299999999</v>
      </c>
    </row>
    <row r="64" spans="1:7" x14ac:dyDescent="0.3">
      <c r="A64" t="s">
        <v>1472</v>
      </c>
      <c r="B64" t="s">
        <v>933</v>
      </c>
      <c r="C64" t="s">
        <v>50</v>
      </c>
      <c r="E64" t="s">
        <v>1881</v>
      </c>
      <c r="F64">
        <v>10.056783299999999</v>
      </c>
      <c r="G64">
        <v>-10.665833299999999</v>
      </c>
    </row>
    <row r="65" spans="1:7" x14ac:dyDescent="0.3">
      <c r="A65" t="s">
        <v>1564</v>
      </c>
      <c r="B65" t="s">
        <v>935</v>
      </c>
      <c r="C65" t="s">
        <v>50</v>
      </c>
      <c r="E65" t="s">
        <v>1881</v>
      </c>
      <c r="F65">
        <v>10.056783299999999</v>
      </c>
      <c r="G65">
        <v>-10.665833299999999</v>
      </c>
    </row>
    <row r="66" spans="1:7" x14ac:dyDescent="0.3">
      <c r="A66" t="s">
        <v>1572</v>
      </c>
      <c r="B66" t="s">
        <v>937</v>
      </c>
      <c r="C66" t="s">
        <v>50</v>
      </c>
      <c r="E66" t="s">
        <v>1881</v>
      </c>
      <c r="F66">
        <v>10.056783299999999</v>
      </c>
      <c r="G66">
        <v>-10.665833299999999</v>
      </c>
    </row>
    <row r="67" spans="1:7" x14ac:dyDescent="0.3">
      <c r="A67" t="s">
        <v>1574</v>
      </c>
      <c r="B67" t="s">
        <v>939</v>
      </c>
      <c r="C67" t="s">
        <v>50</v>
      </c>
      <c r="E67" t="s">
        <v>1881</v>
      </c>
      <c r="F67">
        <v>10.056783299999999</v>
      </c>
      <c r="G67">
        <v>-10.665833299999999</v>
      </c>
    </row>
    <row r="68" spans="1:7" x14ac:dyDescent="0.3">
      <c r="A68" t="s">
        <v>1473</v>
      </c>
      <c r="B68" t="s">
        <v>941</v>
      </c>
      <c r="C68" t="s">
        <v>50</v>
      </c>
      <c r="E68" t="s">
        <v>1881</v>
      </c>
      <c r="F68">
        <v>10.056783299999999</v>
      </c>
      <c r="G68">
        <v>-10.665833299999999</v>
      </c>
    </row>
    <row r="69" spans="1:7" x14ac:dyDescent="0.3">
      <c r="A69" t="s">
        <v>1565</v>
      </c>
      <c r="B69" t="s">
        <v>943</v>
      </c>
      <c r="C69" t="s">
        <v>50</v>
      </c>
      <c r="E69" t="s">
        <v>1881</v>
      </c>
      <c r="F69">
        <v>10.056783299999999</v>
      </c>
      <c r="G69">
        <v>-10.665833299999999</v>
      </c>
    </row>
    <row r="70" spans="1:7" x14ac:dyDescent="0.3">
      <c r="A70" t="s">
        <v>1573</v>
      </c>
      <c r="B70" t="s">
        <v>949</v>
      </c>
      <c r="C70" t="s">
        <v>50</v>
      </c>
      <c r="E70" t="s">
        <v>1881</v>
      </c>
      <c r="F70">
        <v>10.056783299999999</v>
      </c>
      <c r="G70">
        <v>-10.665833299999999</v>
      </c>
    </row>
    <row r="71" spans="1:7" x14ac:dyDescent="0.3">
      <c r="A71" t="s">
        <v>1577</v>
      </c>
      <c r="B71" t="s">
        <v>953</v>
      </c>
      <c r="C71" t="s">
        <v>50</v>
      </c>
      <c r="E71" t="s">
        <v>1881</v>
      </c>
      <c r="F71">
        <v>10.056783299999999</v>
      </c>
      <c r="G71">
        <v>-10.665833299999999</v>
      </c>
    </row>
    <row r="72" spans="1:7" x14ac:dyDescent="0.3">
      <c r="A72" t="s">
        <v>1477</v>
      </c>
      <c r="B72" t="s">
        <v>955</v>
      </c>
      <c r="C72" t="s">
        <v>50</v>
      </c>
      <c r="E72" t="s">
        <v>1881</v>
      </c>
      <c r="F72">
        <v>10.056783299999999</v>
      </c>
      <c r="G72">
        <v>-10.665833299999999</v>
      </c>
    </row>
    <row r="73" spans="1:7" x14ac:dyDescent="0.3">
      <c r="A73" t="s">
        <v>1474</v>
      </c>
      <c r="B73" t="s">
        <v>957</v>
      </c>
      <c r="C73" t="s">
        <v>50</v>
      </c>
      <c r="E73" t="s">
        <v>1881</v>
      </c>
      <c r="F73">
        <v>10.056783299999999</v>
      </c>
      <c r="G73">
        <v>-10.665833299999999</v>
      </c>
    </row>
    <row r="74" spans="1:7" x14ac:dyDescent="0.3">
      <c r="A74" t="s">
        <v>1475</v>
      </c>
      <c r="B74" t="s">
        <v>959</v>
      </c>
      <c r="C74" t="s">
        <v>50</v>
      </c>
      <c r="E74" t="s">
        <v>1881</v>
      </c>
      <c r="F74">
        <v>10.056783299999999</v>
      </c>
      <c r="G74">
        <v>-10.665833299999999</v>
      </c>
    </row>
    <row r="75" spans="1:7" x14ac:dyDescent="0.3">
      <c r="A75" t="s">
        <v>1487</v>
      </c>
      <c r="B75" t="s">
        <v>961</v>
      </c>
      <c r="C75" t="s">
        <v>50</v>
      </c>
      <c r="E75" t="s">
        <v>1881</v>
      </c>
      <c r="F75">
        <v>10.056783299999999</v>
      </c>
      <c r="G75">
        <v>-10.665833299999999</v>
      </c>
    </row>
    <row r="76" spans="1:7" x14ac:dyDescent="0.3">
      <c r="A76" t="s">
        <v>1479</v>
      </c>
      <c r="B76" t="s">
        <v>963</v>
      </c>
      <c r="C76" t="s">
        <v>50</v>
      </c>
      <c r="E76" t="s">
        <v>1881</v>
      </c>
      <c r="F76">
        <v>10.056783299999999</v>
      </c>
      <c r="G76">
        <v>-10.665833299999999</v>
      </c>
    </row>
    <row r="77" spans="1:7" x14ac:dyDescent="0.3">
      <c r="A77" t="s">
        <v>1476</v>
      </c>
      <c r="B77" t="s">
        <v>965</v>
      </c>
      <c r="C77" t="s">
        <v>50</v>
      </c>
      <c r="E77" t="s">
        <v>1881</v>
      </c>
      <c r="F77">
        <v>10.056783299999999</v>
      </c>
      <c r="G77">
        <v>-10.665833299999999</v>
      </c>
    </row>
    <row r="78" spans="1:7" x14ac:dyDescent="0.3">
      <c r="A78" t="s">
        <v>1488</v>
      </c>
      <c r="B78" t="s">
        <v>967</v>
      </c>
      <c r="C78" t="s">
        <v>50</v>
      </c>
      <c r="E78" t="s">
        <v>1881</v>
      </c>
      <c r="F78">
        <v>10.056783299999999</v>
      </c>
      <c r="G78">
        <v>-10.665833299999999</v>
      </c>
    </row>
    <row r="79" spans="1:7" x14ac:dyDescent="0.3">
      <c r="A79" t="s">
        <v>1478</v>
      </c>
      <c r="B79" t="s">
        <v>969</v>
      </c>
      <c r="C79" t="s">
        <v>50</v>
      </c>
      <c r="E79" t="s">
        <v>1881</v>
      </c>
      <c r="F79">
        <v>10.056783299999999</v>
      </c>
      <c r="G79">
        <v>-10.665833299999999</v>
      </c>
    </row>
    <row r="80" spans="1:7" x14ac:dyDescent="0.3">
      <c r="A80" t="s">
        <v>1576</v>
      </c>
      <c r="B80" t="s">
        <v>971</v>
      </c>
      <c r="C80" t="s">
        <v>50</v>
      </c>
      <c r="E80" t="s">
        <v>1881</v>
      </c>
      <c r="F80">
        <v>10.056783299999999</v>
      </c>
      <c r="G80">
        <v>-10.665833299999999</v>
      </c>
    </row>
    <row r="81" spans="1:7" x14ac:dyDescent="0.3">
      <c r="A81" t="s">
        <v>1575</v>
      </c>
      <c r="B81" t="s">
        <v>973</v>
      </c>
      <c r="C81" t="s">
        <v>50</v>
      </c>
      <c r="E81" t="s">
        <v>1881</v>
      </c>
      <c r="F81">
        <v>10.056783299999999</v>
      </c>
      <c r="G81">
        <v>-10.665833299999999</v>
      </c>
    </row>
    <row r="82" spans="1:7" x14ac:dyDescent="0.3">
      <c r="A82" t="s">
        <v>1548</v>
      </c>
      <c r="B82" t="s">
        <v>977</v>
      </c>
      <c r="C82" t="s">
        <v>50</v>
      </c>
      <c r="E82" t="s">
        <v>1882</v>
      </c>
      <c r="F82">
        <v>9.9127170000000007</v>
      </c>
      <c r="G82">
        <v>-10.798133</v>
      </c>
    </row>
    <row r="83" spans="1:7" x14ac:dyDescent="0.3">
      <c r="A83" t="s">
        <v>1552</v>
      </c>
      <c r="B83" t="s">
        <v>979</v>
      </c>
      <c r="C83" t="s">
        <v>50</v>
      </c>
      <c r="E83" t="s">
        <v>1882</v>
      </c>
      <c r="F83">
        <v>9.9127170000000007</v>
      </c>
      <c r="G83">
        <v>-10.798133</v>
      </c>
    </row>
    <row r="84" spans="1:7" x14ac:dyDescent="0.3">
      <c r="A84" t="s">
        <v>1554</v>
      </c>
      <c r="B84" t="s">
        <v>981</v>
      </c>
      <c r="C84" t="s">
        <v>50</v>
      </c>
      <c r="E84" t="s">
        <v>1882</v>
      </c>
      <c r="F84">
        <v>9.9127170000000007</v>
      </c>
      <c r="G84">
        <v>-10.798133</v>
      </c>
    </row>
    <row r="85" spans="1:7" x14ac:dyDescent="0.3">
      <c r="A85" t="s">
        <v>1549</v>
      </c>
      <c r="B85" t="s">
        <v>983</v>
      </c>
      <c r="C85" t="s">
        <v>50</v>
      </c>
      <c r="E85" t="s">
        <v>1882</v>
      </c>
      <c r="F85">
        <v>9.9127170000000007</v>
      </c>
      <c r="G85">
        <v>-10.798133</v>
      </c>
    </row>
    <row r="86" spans="1:7" x14ac:dyDescent="0.3">
      <c r="A86" t="s">
        <v>1553</v>
      </c>
      <c r="B86" t="s">
        <v>985</v>
      </c>
      <c r="C86" t="s">
        <v>50</v>
      </c>
      <c r="E86" t="s">
        <v>1882</v>
      </c>
      <c r="F86">
        <v>9.9127170000000007</v>
      </c>
      <c r="G86">
        <v>-10.798133</v>
      </c>
    </row>
    <row r="87" spans="1:7" x14ac:dyDescent="0.3">
      <c r="A87" t="s">
        <v>1551</v>
      </c>
      <c r="B87" t="s">
        <v>987</v>
      </c>
      <c r="C87" t="s">
        <v>50</v>
      </c>
      <c r="E87" t="s">
        <v>1882</v>
      </c>
      <c r="F87">
        <v>9.9127170000000007</v>
      </c>
      <c r="G87">
        <v>-10.798133</v>
      </c>
    </row>
    <row r="88" spans="1:7" x14ac:dyDescent="0.3">
      <c r="A88" t="s">
        <v>1540</v>
      </c>
      <c r="B88" t="s">
        <v>989</v>
      </c>
      <c r="C88" t="s">
        <v>50</v>
      </c>
      <c r="E88" t="s">
        <v>1882</v>
      </c>
      <c r="F88">
        <v>9.9127170000000007</v>
      </c>
      <c r="G88">
        <v>-10.798133</v>
      </c>
    </row>
    <row r="89" spans="1:7" x14ac:dyDescent="0.3">
      <c r="A89" t="s">
        <v>1550</v>
      </c>
      <c r="B89" t="s">
        <v>991</v>
      </c>
      <c r="C89" t="s">
        <v>50</v>
      </c>
      <c r="E89" t="s">
        <v>1882</v>
      </c>
      <c r="F89">
        <v>9.9127170000000007</v>
      </c>
      <c r="G89">
        <v>-10.798133</v>
      </c>
    </row>
    <row r="90" spans="1:7" x14ac:dyDescent="0.3">
      <c r="A90" t="s">
        <v>1538</v>
      </c>
      <c r="B90" t="s">
        <v>993</v>
      </c>
      <c r="C90" t="s">
        <v>50</v>
      </c>
      <c r="E90" t="s">
        <v>1882</v>
      </c>
      <c r="F90">
        <v>9.9127170000000007</v>
      </c>
      <c r="G90">
        <v>-10.798133</v>
      </c>
    </row>
    <row r="91" spans="1:7" x14ac:dyDescent="0.3">
      <c r="A91" t="s">
        <v>1555</v>
      </c>
      <c r="B91" t="s">
        <v>995</v>
      </c>
      <c r="C91" t="s">
        <v>50</v>
      </c>
      <c r="E91" t="s">
        <v>1882</v>
      </c>
      <c r="F91">
        <v>9.9127170000000007</v>
      </c>
      <c r="G91">
        <v>-10.798133</v>
      </c>
    </row>
    <row r="92" spans="1:7" x14ac:dyDescent="0.3">
      <c r="A92" t="s">
        <v>1556</v>
      </c>
      <c r="B92" t="s">
        <v>997</v>
      </c>
      <c r="C92" t="s">
        <v>50</v>
      </c>
      <c r="E92" t="s">
        <v>1882</v>
      </c>
      <c r="F92">
        <v>9.9127170000000007</v>
      </c>
      <c r="G92">
        <v>-10.798133</v>
      </c>
    </row>
    <row r="93" spans="1:7" x14ac:dyDescent="0.3">
      <c r="A93" t="s">
        <v>1557</v>
      </c>
      <c r="B93" t="s">
        <v>999</v>
      </c>
      <c r="C93" t="s">
        <v>50</v>
      </c>
      <c r="E93" t="s">
        <v>1882</v>
      </c>
      <c r="F93">
        <v>9.9127170000000007</v>
      </c>
      <c r="G93">
        <v>-10.798133</v>
      </c>
    </row>
    <row r="94" spans="1:7" x14ac:dyDescent="0.3">
      <c r="A94" t="s">
        <v>1547</v>
      </c>
      <c r="B94" t="s">
        <v>1001</v>
      </c>
      <c r="C94" t="s">
        <v>50</v>
      </c>
      <c r="E94" t="s">
        <v>1882</v>
      </c>
      <c r="F94">
        <v>9.9127170000000007</v>
      </c>
      <c r="G94">
        <v>-10.798133</v>
      </c>
    </row>
    <row r="95" spans="1:7" x14ac:dyDescent="0.3">
      <c r="A95" t="s">
        <v>1546</v>
      </c>
      <c r="B95" t="s">
        <v>1003</v>
      </c>
      <c r="C95" t="s">
        <v>50</v>
      </c>
      <c r="E95" t="s">
        <v>1883</v>
      </c>
      <c r="F95">
        <v>9.9544499999999996</v>
      </c>
      <c r="G95">
        <v>-10.7318833</v>
      </c>
    </row>
    <row r="96" spans="1:7" x14ac:dyDescent="0.3">
      <c r="A96" t="s">
        <v>1591</v>
      </c>
      <c r="B96" t="s">
        <v>1005</v>
      </c>
      <c r="C96" t="s">
        <v>50</v>
      </c>
      <c r="E96" t="s">
        <v>1883</v>
      </c>
      <c r="F96">
        <v>9.9544499999999996</v>
      </c>
      <c r="G96">
        <v>-10.7318833</v>
      </c>
    </row>
    <row r="97" spans="1:7" x14ac:dyDescent="0.3">
      <c r="A97" t="s">
        <v>1595</v>
      </c>
      <c r="B97" t="s">
        <v>1010</v>
      </c>
      <c r="C97" t="s">
        <v>50</v>
      </c>
      <c r="E97" t="s">
        <v>1883</v>
      </c>
      <c r="F97">
        <v>9.9544499999999996</v>
      </c>
      <c r="G97">
        <v>-10.7318833</v>
      </c>
    </row>
    <row r="98" spans="1:7" x14ac:dyDescent="0.3">
      <c r="A98" t="s">
        <v>1518</v>
      </c>
      <c r="B98" t="s">
        <v>1012</v>
      </c>
      <c r="C98" t="s">
        <v>50</v>
      </c>
      <c r="E98" t="s">
        <v>1883</v>
      </c>
      <c r="F98">
        <v>9.9544499999999996</v>
      </c>
      <c r="G98">
        <v>-10.7318833</v>
      </c>
    </row>
    <row r="99" spans="1:7" x14ac:dyDescent="0.3">
      <c r="A99" t="s">
        <v>1592</v>
      </c>
      <c r="B99" t="s">
        <v>1014</v>
      </c>
      <c r="C99" t="s">
        <v>50</v>
      </c>
      <c r="E99" t="s">
        <v>1883</v>
      </c>
      <c r="F99">
        <v>9.9544499999999996</v>
      </c>
      <c r="G99">
        <v>-10.7318833</v>
      </c>
    </row>
    <row r="100" spans="1:7" x14ac:dyDescent="0.3">
      <c r="A100" t="s">
        <v>1535</v>
      </c>
      <c r="B100" t="s">
        <v>1016</v>
      </c>
      <c r="C100" t="s">
        <v>50</v>
      </c>
      <c r="E100" t="s">
        <v>1883</v>
      </c>
      <c r="F100">
        <v>9.9544499999999996</v>
      </c>
      <c r="G100">
        <v>-10.7318833</v>
      </c>
    </row>
    <row r="101" spans="1:7" x14ac:dyDescent="0.3">
      <c r="A101" t="s">
        <v>1545</v>
      </c>
      <c r="B101" t="s">
        <v>1018</v>
      </c>
      <c r="C101" t="s">
        <v>50</v>
      </c>
      <c r="E101" t="s">
        <v>1883</v>
      </c>
      <c r="F101">
        <v>9.9544499999999996</v>
      </c>
      <c r="G101">
        <v>-10.7318833</v>
      </c>
    </row>
    <row r="102" spans="1:7" x14ac:dyDescent="0.3">
      <c r="A102" t="s">
        <v>1561</v>
      </c>
      <c r="B102" t="s">
        <v>1020</v>
      </c>
      <c r="C102" t="s">
        <v>50</v>
      </c>
      <c r="E102" t="s">
        <v>1883</v>
      </c>
      <c r="F102">
        <v>9.9544499999999996</v>
      </c>
      <c r="G102">
        <v>-10.7318833</v>
      </c>
    </row>
    <row r="103" spans="1:7" x14ac:dyDescent="0.3">
      <c r="A103" t="s">
        <v>1519</v>
      </c>
      <c r="B103" t="s">
        <v>1022</v>
      </c>
      <c r="C103" t="s">
        <v>50</v>
      </c>
      <c r="E103" t="s">
        <v>1883</v>
      </c>
      <c r="F103">
        <v>9.9544499999999996</v>
      </c>
      <c r="G103">
        <v>-10.7318833</v>
      </c>
    </row>
    <row r="104" spans="1:7" x14ac:dyDescent="0.3">
      <c r="A104" t="s">
        <v>1593</v>
      </c>
      <c r="B104" t="s">
        <v>1024</v>
      </c>
      <c r="C104" t="s">
        <v>50</v>
      </c>
      <c r="E104" t="s">
        <v>1883</v>
      </c>
      <c r="F104">
        <v>9.9544499999999996</v>
      </c>
      <c r="G104">
        <v>-10.7318833</v>
      </c>
    </row>
    <row r="105" spans="1:7" x14ac:dyDescent="0.3">
      <c r="A105" t="s">
        <v>1594</v>
      </c>
      <c r="B105" t="s">
        <v>1026</v>
      </c>
      <c r="C105" t="s">
        <v>50</v>
      </c>
      <c r="E105" t="s">
        <v>1883</v>
      </c>
      <c r="F105">
        <v>9.9544499999999996</v>
      </c>
      <c r="G105">
        <v>-10.7318833</v>
      </c>
    </row>
    <row r="106" spans="1:7" x14ac:dyDescent="0.3">
      <c r="A106" t="s">
        <v>1539</v>
      </c>
      <c r="B106" t="s">
        <v>1028</v>
      </c>
      <c r="C106" t="s">
        <v>50</v>
      </c>
      <c r="E106" t="s">
        <v>1883</v>
      </c>
      <c r="F106">
        <v>9.9544499999999996</v>
      </c>
      <c r="G106">
        <v>-10.7318833</v>
      </c>
    </row>
    <row r="107" spans="1:7" x14ac:dyDescent="0.3">
      <c r="A107" t="s">
        <v>1536</v>
      </c>
      <c r="B107" t="s">
        <v>1030</v>
      </c>
      <c r="C107" t="s">
        <v>50</v>
      </c>
      <c r="E107" t="s">
        <v>1883</v>
      </c>
      <c r="F107">
        <v>9.9544499999999996</v>
      </c>
      <c r="G107">
        <v>-10.7318833</v>
      </c>
    </row>
    <row r="108" spans="1:7" x14ac:dyDescent="0.3">
      <c r="A108" t="s">
        <v>1378</v>
      </c>
      <c r="B108" t="s">
        <v>1032</v>
      </c>
      <c r="C108" t="s">
        <v>1106</v>
      </c>
      <c r="E108" t="s">
        <v>1884</v>
      </c>
      <c r="F108">
        <v>7.8637600000000001</v>
      </c>
      <c r="G108">
        <v>-11.197469999999999</v>
      </c>
    </row>
    <row r="109" spans="1:7" x14ac:dyDescent="0.3">
      <c r="A109" t="s">
        <v>1450</v>
      </c>
      <c r="B109" t="s">
        <v>1033</v>
      </c>
      <c r="C109" t="s">
        <v>1106</v>
      </c>
      <c r="E109" t="s">
        <v>1885</v>
      </c>
      <c r="F109">
        <v>7.9734999999999996</v>
      </c>
      <c r="G109">
        <v>-11.39484</v>
      </c>
    </row>
    <row r="110" spans="1:7" x14ac:dyDescent="0.3">
      <c r="A110" t="s">
        <v>1385</v>
      </c>
      <c r="B110" t="s">
        <v>1034</v>
      </c>
      <c r="C110" t="s">
        <v>1106</v>
      </c>
      <c r="E110" t="s">
        <v>1885</v>
      </c>
      <c r="F110">
        <v>7.9734999999999996</v>
      </c>
      <c r="G110">
        <v>-11.39484</v>
      </c>
    </row>
    <row r="111" spans="1:7" x14ac:dyDescent="0.3">
      <c r="A111" t="s">
        <v>1446</v>
      </c>
      <c r="B111" t="s">
        <v>1035</v>
      </c>
      <c r="C111" t="s">
        <v>1106</v>
      </c>
      <c r="E111" t="s">
        <v>1885</v>
      </c>
      <c r="F111">
        <v>7.9734999999999996</v>
      </c>
      <c r="G111">
        <v>-11.39484</v>
      </c>
    </row>
    <row r="112" spans="1:7" x14ac:dyDescent="0.3">
      <c r="A112" t="s">
        <v>1896</v>
      </c>
      <c r="C112" t="s">
        <v>50</v>
      </c>
      <c r="F112" s="13" t="s">
        <v>1897</v>
      </c>
      <c r="G112" s="13" t="s">
        <v>1898</v>
      </c>
    </row>
    <row r="113" spans="1:7" x14ac:dyDescent="0.3">
      <c r="A113" t="s">
        <v>1895</v>
      </c>
      <c r="C113" t="s">
        <v>50</v>
      </c>
      <c r="F113" s="13" t="s">
        <v>1899</v>
      </c>
      <c r="G113" s="13" t="s">
        <v>1900</v>
      </c>
    </row>
    <row r="114" spans="1:7" x14ac:dyDescent="0.3">
      <c r="A114" t="s">
        <v>1889</v>
      </c>
      <c r="C114" t="s">
        <v>50</v>
      </c>
      <c r="F114" s="13" t="s">
        <v>1901</v>
      </c>
      <c r="G114" s="13" t="s">
        <v>1902</v>
      </c>
    </row>
    <row r="115" spans="1:7" x14ac:dyDescent="0.3">
      <c r="A115" t="s">
        <v>1890</v>
      </c>
      <c r="C115" t="s">
        <v>50</v>
      </c>
      <c r="F115" s="13" t="s">
        <v>1903</v>
      </c>
      <c r="G115" s="13" t="s">
        <v>1904</v>
      </c>
    </row>
    <row r="116" spans="1:7" x14ac:dyDescent="0.3">
      <c r="A116" t="s">
        <v>1894</v>
      </c>
      <c r="C116" t="s">
        <v>50</v>
      </c>
      <c r="F116" s="13" t="s">
        <v>1905</v>
      </c>
      <c r="G116" s="13" t="s">
        <v>1906</v>
      </c>
    </row>
    <row r="117" spans="1:7" x14ac:dyDescent="0.3">
      <c r="A117" t="s">
        <v>1891</v>
      </c>
      <c r="C117" t="s">
        <v>50</v>
      </c>
      <c r="F117" s="13" t="s">
        <v>1907</v>
      </c>
      <c r="G117" s="13" t="s">
        <v>1908</v>
      </c>
    </row>
    <row r="118" spans="1:7" x14ac:dyDescent="0.3">
      <c r="A118" t="s">
        <v>1892</v>
      </c>
      <c r="C118" t="s">
        <v>50</v>
      </c>
      <c r="F118" s="13" t="s">
        <v>1909</v>
      </c>
      <c r="G118" s="13" t="s">
        <v>1910</v>
      </c>
    </row>
    <row r="119" spans="1:7" x14ac:dyDescent="0.3">
      <c r="A119" t="s">
        <v>1893</v>
      </c>
      <c r="B119" t="s">
        <v>921</v>
      </c>
      <c r="C119" t="s">
        <v>50</v>
      </c>
      <c r="F119" s="13" t="s">
        <v>1911</v>
      </c>
      <c r="G119" s="13" t="s">
        <v>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1574-D567-4603-ACB5-4C258785A03A}">
  <dimension ref="A1:B124"/>
  <sheetViews>
    <sheetView workbookViewId="0">
      <selection activeCell="D30" sqref="D30"/>
    </sheetView>
  </sheetViews>
  <sheetFormatPr defaultRowHeight="14.4" x14ac:dyDescent="0.3"/>
  <cols>
    <col min="1" max="1" width="41" bestFit="1" customWidth="1"/>
    <col min="2" max="2" width="19.109375" bestFit="1" customWidth="1"/>
  </cols>
  <sheetData>
    <row r="1" spans="1:2" x14ac:dyDescent="0.3">
      <c r="A1" s="1" t="s">
        <v>1234</v>
      </c>
      <c r="B1" s="1" t="s">
        <v>1110</v>
      </c>
    </row>
    <row r="2" spans="1:2" x14ac:dyDescent="0.3">
      <c r="A2" s="1" t="s">
        <v>1235</v>
      </c>
      <c r="B2" s="1" t="s">
        <v>1111</v>
      </c>
    </row>
    <row r="3" spans="1:2" x14ac:dyDescent="0.3">
      <c r="A3" s="1" t="s">
        <v>1236</v>
      </c>
      <c r="B3" s="1" t="s">
        <v>1112</v>
      </c>
    </row>
    <row r="4" spans="1:2" x14ac:dyDescent="0.3">
      <c r="A4" s="1" t="s">
        <v>1237</v>
      </c>
      <c r="B4" s="1" t="s">
        <v>1113</v>
      </c>
    </row>
    <row r="5" spans="1:2" x14ac:dyDescent="0.3">
      <c r="A5" s="1" t="s">
        <v>1238</v>
      </c>
      <c r="B5" s="1" t="s">
        <v>1114</v>
      </c>
    </row>
    <row r="6" spans="1:2" x14ac:dyDescent="0.3">
      <c r="A6" s="1" t="s">
        <v>1239</v>
      </c>
      <c r="B6" s="1" t="s">
        <v>1115</v>
      </c>
    </row>
    <row r="7" spans="1:2" x14ac:dyDescent="0.3">
      <c r="A7" s="1" t="s">
        <v>1240</v>
      </c>
      <c r="B7" s="1" t="s">
        <v>1116</v>
      </c>
    </row>
    <row r="8" spans="1:2" x14ac:dyDescent="0.3">
      <c r="A8" s="1" t="s">
        <v>1241</v>
      </c>
      <c r="B8" s="1" t="s">
        <v>1117</v>
      </c>
    </row>
    <row r="9" spans="1:2" x14ac:dyDescent="0.3">
      <c r="A9" s="1" t="s">
        <v>1242</v>
      </c>
      <c r="B9" s="1" t="s">
        <v>1118</v>
      </c>
    </row>
    <row r="10" spans="1:2" x14ac:dyDescent="0.3">
      <c r="A10" s="1" t="s">
        <v>1243</v>
      </c>
      <c r="B10" s="1" t="s">
        <v>1119</v>
      </c>
    </row>
    <row r="11" spans="1:2" x14ac:dyDescent="0.3">
      <c r="A11" s="1" t="s">
        <v>1244</v>
      </c>
      <c r="B11" s="1" t="s">
        <v>1120</v>
      </c>
    </row>
    <row r="12" spans="1:2" x14ac:dyDescent="0.3">
      <c r="A12" s="1" t="s">
        <v>1245</v>
      </c>
      <c r="B12" s="1" t="s">
        <v>1121</v>
      </c>
    </row>
    <row r="13" spans="1:2" x14ac:dyDescent="0.3">
      <c r="A13" s="1" t="s">
        <v>1246</v>
      </c>
      <c r="B13" s="1" t="s">
        <v>1122</v>
      </c>
    </row>
    <row r="14" spans="1:2" x14ac:dyDescent="0.3">
      <c r="A14" s="1" t="s">
        <v>1247</v>
      </c>
      <c r="B14" s="1" t="s">
        <v>1123</v>
      </c>
    </row>
    <row r="15" spans="1:2" x14ac:dyDescent="0.3">
      <c r="A15" s="1" t="s">
        <v>1248</v>
      </c>
      <c r="B15" s="1" t="s">
        <v>1124</v>
      </c>
    </row>
    <row r="16" spans="1:2" x14ac:dyDescent="0.3">
      <c r="A16" s="1" t="s">
        <v>1249</v>
      </c>
      <c r="B16" s="1" t="s">
        <v>1125</v>
      </c>
    </row>
    <row r="17" spans="1:2" x14ac:dyDescent="0.3">
      <c r="A17" s="1" t="s">
        <v>1250</v>
      </c>
      <c r="B17" s="1" t="s">
        <v>1126</v>
      </c>
    </row>
    <row r="18" spans="1:2" x14ac:dyDescent="0.3">
      <c r="A18" s="1" t="s">
        <v>1251</v>
      </c>
      <c r="B18" s="1" t="s">
        <v>1127</v>
      </c>
    </row>
    <row r="19" spans="1:2" x14ac:dyDescent="0.3">
      <c r="A19" s="1" t="s">
        <v>1252</v>
      </c>
      <c r="B19" s="1" t="s">
        <v>1128</v>
      </c>
    </row>
    <row r="20" spans="1:2" x14ac:dyDescent="0.3">
      <c r="A20" s="1" t="s">
        <v>1253</v>
      </c>
      <c r="B20" s="1" t="s">
        <v>1129</v>
      </c>
    </row>
    <row r="21" spans="1:2" x14ac:dyDescent="0.3">
      <c r="A21" s="1" t="s">
        <v>1254</v>
      </c>
      <c r="B21" s="1" t="s">
        <v>1130</v>
      </c>
    </row>
    <row r="22" spans="1:2" x14ac:dyDescent="0.3">
      <c r="A22" s="1" t="s">
        <v>1256</v>
      </c>
      <c r="B22" s="1" t="s">
        <v>1131</v>
      </c>
    </row>
    <row r="23" spans="1:2" x14ac:dyDescent="0.3">
      <c r="A23" s="1" t="s">
        <v>1257</v>
      </c>
      <c r="B23" s="1" t="s">
        <v>1132</v>
      </c>
    </row>
    <row r="24" spans="1:2" x14ac:dyDescent="0.3">
      <c r="A24" s="1" t="s">
        <v>1258</v>
      </c>
      <c r="B24" s="1" t="s">
        <v>1133</v>
      </c>
    </row>
    <row r="25" spans="1:2" x14ac:dyDescent="0.3">
      <c r="A25" s="1" t="s">
        <v>1259</v>
      </c>
      <c r="B25" s="1" t="s">
        <v>1134</v>
      </c>
    </row>
    <row r="26" spans="1:2" x14ac:dyDescent="0.3">
      <c r="A26" s="1" t="s">
        <v>1260</v>
      </c>
      <c r="B26" s="1" t="s">
        <v>1135</v>
      </c>
    </row>
    <row r="27" spans="1:2" x14ac:dyDescent="0.3">
      <c r="A27" s="1" t="s">
        <v>1261</v>
      </c>
      <c r="B27" s="1" t="s">
        <v>1136</v>
      </c>
    </row>
    <row r="28" spans="1:2" x14ac:dyDescent="0.3">
      <c r="A28" s="1" t="s">
        <v>1262</v>
      </c>
      <c r="B28" s="1" t="s">
        <v>1137</v>
      </c>
    </row>
    <row r="29" spans="1:2" x14ac:dyDescent="0.3">
      <c r="A29" s="1" t="s">
        <v>1263</v>
      </c>
      <c r="B29" s="1" t="s">
        <v>1138</v>
      </c>
    </row>
    <row r="30" spans="1:2" x14ac:dyDescent="0.3">
      <c r="A30" s="1" t="s">
        <v>1264</v>
      </c>
      <c r="B30" s="1" t="s">
        <v>1139</v>
      </c>
    </row>
    <row r="31" spans="1:2" x14ac:dyDescent="0.3">
      <c r="A31" s="1" t="s">
        <v>1265</v>
      </c>
      <c r="B31" s="1" t="s">
        <v>1140</v>
      </c>
    </row>
    <row r="32" spans="1:2" x14ac:dyDescent="0.3">
      <c r="A32" s="1" t="s">
        <v>1266</v>
      </c>
      <c r="B32" s="1" t="s">
        <v>1141</v>
      </c>
    </row>
    <row r="33" spans="1:2" x14ac:dyDescent="0.3">
      <c r="A33" s="1" t="s">
        <v>1267</v>
      </c>
      <c r="B33" s="1" t="s">
        <v>1142</v>
      </c>
    </row>
    <row r="34" spans="1:2" x14ac:dyDescent="0.3">
      <c r="A34" s="1" t="s">
        <v>1268</v>
      </c>
      <c r="B34" s="1" t="s">
        <v>1143</v>
      </c>
    </row>
    <row r="35" spans="1:2" x14ac:dyDescent="0.3">
      <c r="A35" s="1" t="s">
        <v>1269</v>
      </c>
      <c r="B35" s="1" t="s">
        <v>1144</v>
      </c>
    </row>
    <row r="36" spans="1:2" x14ac:dyDescent="0.3">
      <c r="A36" s="1" t="s">
        <v>1271</v>
      </c>
      <c r="B36" s="1" t="s">
        <v>1145</v>
      </c>
    </row>
    <row r="37" spans="1:2" x14ac:dyDescent="0.3">
      <c r="A37" s="1" t="s">
        <v>1272</v>
      </c>
      <c r="B37" s="1" t="s">
        <v>1146</v>
      </c>
    </row>
    <row r="38" spans="1:2" x14ac:dyDescent="0.3">
      <c r="A38" s="1" t="s">
        <v>1273</v>
      </c>
      <c r="B38" s="1" t="s">
        <v>1147</v>
      </c>
    </row>
    <row r="39" spans="1:2" x14ac:dyDescent="0.3">
      <c r="A39" s="1" t="s">
        <v>1274</v>
      </c>
      <c r="B39" s="1" t="s">
        <v>1148</v>
      </c>
    </row>
    <row r="40" spans="1:2" x14ac:dyDescent="0.3">
      <c r="A40" s="1" t="s">
        <v>1275</v>
      </c>
      <c r="B40" s="1" t="s">
        <v>1149</v>
      </c>
    </row>
    <row r="41" spans="1:2" x14ac:dyDescent="0.3">
      <c r="A41" s="1" t="s">
        <v>1276</v>
      </c>
      <c r="B41" s="1" t="s">
        <v>1150</v>
      </c>
    </row>
    <row r="42" spans="1:2" x14ac:dyDescent="0.3">
      <c r="A42" s="1" t="s">
        <v>1277</v>
      </c>
      <c r="B42" s="1" t="s">
        <v>1151</v>
      </c>
    </row>
    <row r="43" spans="1:2" x14ac:dyDescent="0.3">
      <c r="A43" s="1" t="s">
        <v>1278</v>
      </c>
      <c r="B43" s="1" t="s">
        <v>1152</v>
      </c>
    </row>
    <row r="44" spans="1:2" x14ac:dyDescent="0.3">
      <c r="A44" s="1" t="s">
        <v>1279</v>
      </c>
      <c r="B44" s="1" t="s">
        <v>1153</v>
      </c>
    </row>
    <row r="45" spans="1:2" x14ac:dyDescent="0.3">
      <c r="A45" s="1" t="s">
        <v>1280</v>
      </c>
      <c r="B45" s="1" t="s">
        <v>1154</v>
      </c>
    </row>
    <row r="46" spans="1:2" x14ac:dyDescent="0.3">
      <c r="A46" s="1" t="s">
        <v>1281</v>
      </c>
      <c r="B46" s="1" t="s">
        <v>1155</v>
      </c>
    </row>
    <row r="47" spans="1:2" x14ac:dyDescent="0.3">
      <c r="A47" s="1" t="s">
        <v>1282</v>
      </c>
      <c r="B47" s="1" t="s">
        <v>1156</v>
      </c>
    </row>
    <row r="48" spans="1:2" x14ac:dyDescent="0.3">
      <c r="A48" s="1" t="s">
        <v>1283</v>
      </c>
      <c r="B48" s="1" t="s">
        <v>1157</v>
      </c>
    </row>
    <row r="49" spans="1:2" x14ac:dyDescent="0.3">
      <c r="A49" s="1" t="s">
        <v>1284</v>
      </c>
      <c r="B49" s="1" t="s">
        <v>1158</v>
      </c>
    </row>
    <row r="50" spans="1:2" x14ac:dyDescent="0.3">
      <c r="A50" s="1" t="s">
        <v>1286</v>
      </c>
      <c r="B50" s="1" t="s">
        <v>1159</v>
      </c>
    </row>
    <row r="51" spans="1:2" x14ac:dyDescent="0.3">
      <c r="A51" s="1" t="s">
        <v>1287</v>
      </c>
      <c r="B51" s="1" t="s">
        <v>1160</v>
      </c>
    </row>
    <row r="52" spans="1:2" x14ac:dyDescent="0.3">
      <c r="A52" s="1" t="s">
        <v>1288</v>
      </c>
      <c r="B52" s="1" t="s">
        <v>1161</v>
      </c>
    </row>
    <row r="53" spans="1:2" x14ac:dyDescent="0.3">
      <c r="A53" s="1" t="s">
        <v>1289</v>
      </c>
      <c r="B53" s="1" t="s">
        <v>1162</v>
      </c>
    </row>
    <row r="54" spans="1:2" x14ac:dyDescent="0.3">
      <c r="A54" s="1" t="s">
        <v>1293</v>
      </c>
      <c r="B54" s="1" t="s">
        <v>1163</v>
      </c>
    </row>
    <row r="55" spans="1:2" x14ac:dyDescent="0.3">
      <c r="A55" s="1" t="s">
        <v>1294</v>
      </c>
      <c r="B55" s="1" t="s">
        <v>1164</v>
      </c>
    </row>
    <row r="56" spans="1:2" x14ac:dyDescent="0.3">
      <c r="A56" s="1" t="s">
        <v>1295</v>
      </c>
      <c r="B56" s="1" t="s">
        <v>1165</v>
      </c>
    </row>
    <row r="57" spans="1:2" x14ac:dyDescent="0.3">
      <c r="A57" s="1" t="s">
        <v>1297</v>
      </c>
      <c r="B57" s="1" t="s">
        <v>1166</v>
      </c>
    </row>
    <row r="58" spans="1:2" x14ac:dyDescent="0.3">
      <c r="A58" s="1" t="s">
        <v>1299</v>
      </c>
      <c r="B58" s="1" t="s">
        <v>1167</v>
      </c>
    </row>
    <row r="59" spans="1:2" x14ac:dyDescent="0.3">
      <c r="A59" s="1" t="s">
        <v>1300</v>
      </c>
      <c r="B59" s="1" t="s">
        <v>1168</v>
      </c>
    </row>
    <row r="60" spans="1:2" x14ac:dyDescent="0.3">
      <c r="A60" s="1" t="s">
        <v>1301</v>
      </c>
      <c r="B60" s="1" t="s">
        <v>1169</v>
      </c>
    </row>
    <row r="61" spans="1:2" x14ac:dyDescent="0.3">
      <c r="A61" s="1" t="s">
        <v>1302</v>
      </c>
      <c r="B61" s="1" t="s">
        <v>1170</v>
      </c>
    </row>
    <row r="62" spans="1:2" x14ac:dyDescent="0.3">
      <c r="A62" s="1" t="s">
        <v>1303</v>
      </c>
      <c r="B62" s="1" t="s">
        <v>1171</v>
      </c>
    </row>
    <row r="63" spans="1:2" x14ac:dyDescent="0.3">
      <c r="A63" s="1" t="s">
        <v>1304</v>
      </c>
      <c r="B63" s="1" t="s">
        <v>1172</v>
      </c>
    </row>
    <row r="64" spans="1:2" x14ac:dyDescent="0.3">
      <c r="A64" s="1" t="s">
        <v>1305</v>
      </c>
      <c r="B64" s="1" t="s">
        <v>1173</v>
      </c>
    </row>
    <row r="65" spans="1:2" x14ac:dyDescent="0.3">
      <c r="A65" s="1" t="s">
        <v>1306</v>
      </c>
      <c r="B65" s="1" t="s">
        <v>1174</v>
      </c>
    </row>
    <row r="66" spans="1:2" x14ac:dyDescent="0.3">
      <c r="A66" s="1" t="s">
        <v>1307</v>
      </c>
      <c r="B66" s="1" t="s">
        <v>1175</v>
      </c>
    </row>
    <row r="67" spans="1:2" x14ac:dyDescent="0.3">
      <c r="A67" s="1" t="s">
        <v>1308</v>
      </c>
      <c r="B67" s="1" t="s">
        <v>1176</v>
      </c>
    </row>
    <row r="68" spans="1:2" x14ac:dyDescent="0.3">
      <c r="A68" s="1" t="s">
        <v>1315</v>
      </c>
      <c r="B68" s="1" t="s">
        <v>1177</v>
      </c>
    </row>
    <row r="69" spans="1:2" x14ac:dyDescent="0.3">
      <c r="A69" s="1" t="s">
        <v>1316</v>
      </c>
      <c r="B69" s="1" t="s">
        <v>1178</v>
      </c>
    </row>
    <row r="70" spans="1:2" x14ac:dyDescent="0.3">
      <c r="A70" s="1" t="s">
        <v>1317</v>
      </c>
      <c r="B70" s="1" t="s">
        <v>1179</v>
      </c>
    </row>
    <row r="71" spans="1:2" x14ac:dyDescent="0.3">
      <c r="A71" s="1" t="s">
        <v>1318</v>
      </c>
      <c r="B71" s="1" t="s">
        <v>1180</v>
      </c>
    </row>
    <row r="72" spans="1:2" x14ac:dyDescent="0.3">
      <c r="A72" s="1" t="s">
        <v>1319</v>
      </c>
      <c r="B72" s="1" t="s">
        <v>1181</v>
      </c>
    </row>
    <row r="73" spans="1:2" x14ac:dyDescent="0.3">
      <c r="A73" s="1" t="s">
        <v>1320</v>
      </c>
      <c r="B73" s="1" t="s">
        <v>1182</v>
      </c>
    </row>
    <row r="74" spans="1:2" x14ac:dyDescent="0.3">
      <c r="A74" s="1" t="s">
        <v>1321</v>
      </c>
      <c r="B74" s="1" t="s">
        <v>1183</v>
      </c>
    </row>
    <row r="75" spans="1:2" x14ac:dyDescent="0.3">
      <c r="A75" s="1" t="s">
        <v>1322</v>
      </c>
      <c r="B75" s="1" t="s">
        <v>1184</v>
      </c>
    </row>
    <row r="76" spans="1:2" x14ac:dyDescent="0.3">
      <c r="A76" s="1" t="s">
        <v>1323</v>
      </c>
      <c r="B76" s="1" t="s">
        <v>1185</v>
      </c>
    </row>
    <row r="77" spans="1:2" x14ac:dyDescent="0.3">
      <c r="A77" s="1" t="s">
        <v>1324</v>
      </c>
      <c r="B77" s="1" t="s">
        <v>1186</v>
      </c>
    </row>
    <row r="78" spans="1:2" x14ac:dyDescent="0.3">
      <c r="A78" s="1" t="s">
        <v>1325</v>
      </c>
      <c r="B78" s="1" t="s">
        <v>1187</v>
      </c>
    </row>
    <row r="79" spans="1:2" x14ac:dyDescent="0.3">
      <c r="A79" s="1" t="s">
        <v>1326</v>
      </c>
      <c r="B79" s="1" t="s">
        <v>1188</v>
      </c>
    </row>
    <row r="80" spans="1:2" x14ac:dyDescent="0.3">
      <c r="A80" s="1" t="s">
        <v>1327</v>
      </c>
      <c r="B80" s="1" t="s">
        <v>1189</v>
      </c>
    </row>
    <row r="81" spans="1:2" x14ac:dyDescent="0.3">
      <c r="A81" s="1" t="s">
        <v>1328</v>
      </c>
      <c r="B81" s="1" t="s">
        <v>1190</v>
      </c>
    </row>
    <row r="82" spans="1:2" x14ac:dyDescent="0.3">
      <c r="A82" s="1" t="s">
        <v>1329</v>
      </c>
      <c r="B82" s="1" t="s">
        <v>1191</v>
      </c>
    </row>
    <row r="83" spans="1:2" x14ac:dyDescent="0.3">
      <c r="A83" s="1" t="s">
        <v>1330</v>
      </c>
      <c r="B83" s="1" t="s">
        <v>1192</v>
      </c>
    </row>
    <row r="84" spans="1:2" x14ac:dyDescent="0.3">
      <c r="A84" s="1" t="s">
        <v>1331</v>
      </c>
      <c r="B84" s="1" t="s">
        <v>1193</v>
      </c>
    </row>
    <row r="85" spans="1:2" x14ac:dyDescent="0.3">
      <c r="A85" s="1" t="s">
        <v>1332</v>
      </c>
      <c r="B85" s="1" t="s">
        <v>1194</v>
      </c>
    </row>
    <row r="86" spans="1:2" x14ac:dyDescent="0.3">
      <c r="A86" s="1" t="s">
        <v>1333</v>
      </c>
      <c r="B86" s="1" t="s">
        <v>1195</v>
      </c>
    </row>
    <row r="87" spans="1:2" x14ac:dyDescent="0.3">
      <c r="A87" s="1" t="s">
        <v>1334</v>
      </c>
      <c r="B87" s="1" t="s">
        <v>1196</v>
      </c>
    </row>
    <row r="88" spans="1:2" x14ac:dyDescent="0.3">
      <c r="A88" s="1" t="s">
        <v>1335</v>
      </c>
      <c r="B88" s="1" t="s">
        <v>1197</v>
      </c>
    </row>
    <row r="89" spans="1:2" x14ac:dyDescent="0.3">
      <c r="A89" s="1" t="s">
        <v>1336</v>
      </c>
      <c r="B89" s="1" t="s">
        <v>1198</v>
      </c>
    </row>
    <row r="90" spans="1:2" x14ac:dyDescent="0.3">
      <c r="A90" s="1" t="s">
        <v>1337</v>
      </c>
      <c r="B90" s="1" t="s">
        <v>1199</v>
      </c>
    </row>
    <row r="91" spans="1:2" x14ac:dyDescent="0.3">
      <c r="A91" s="1" t="s">
        <v>1338</v>
      </c>
      <c r="B91" s="1" t="s">
        <v>1200</v>
      </c>
    </row>
    <row r="92" spans="1:2" x14ac:dyDescent="0.3">
      <c r="A92" s="1" t="s">
        <v>1339</v>
      </c>
      <c r="B92" s="1" t="s">
        <v>1201</v>
      </c>
    </row>
    <row r="93" spans="1:2" x14ac:dyDescent="0.3">
      <c r="A93" s="1" t="s">
        <v>1340</v>
      </c>
      <c r="B93" s="1" t="s">
        <v>1202</v>
      </c>
    </row>
    <row r="94" spans="1:2" x14ac:dyDescent="0.3">
      <c r="A94" s="1" t="s">
        <v>1341</v>
      </c>
      <c r="B94" s="1" t="s">
        <v>1203</v>
      </c>
    </row>
    <row r="95" spans="1:2" x14ac:dyDescent="0.3">
      <c r="A95" s="1" t="s">
        <v>1342</v>
      </c>
      <c r="B95" s="1" t="s">
        <v>1204</v>
      </c>
    </row>
    <row r="96" spans="1:2" x14ac:dyDescent="0.3">
      <c r="A96" s="1" t="s">
        <v>1343</v>
      </c>
      <c r="B96" s="1" t="s">
        <v>1205</v>
      </c>
    </row>
    <row r="97" spans="1:2" x14ac:dyDescent="0.3">
      <c r="A97" s="1" t="s">
        <v>1344</v>
      </c>
      <c r="B97" s="1" t="s">
        <v>1206</v>
      </c>
    </row>
    <row r="98" spans="1:2" x14ac:dyDescent="0.3">
      <c r="A98" s="1" t="s">
        <v>1345</v>
      </c>
      <c r="B98" s="1" t="s">
        <v>1207</v>
      </c>
    </row>
    <row r="99" spans="1:2" x14ac:dyDescent="0.3">
      <c r="A99" s="1" t="s">
        <v>1346</v>
      </c>
      <c r="B99" s="1" t="s">
        <v>1208</v>
      </c>
    </row>
    <row r="100" spans="1:2" x14ac:dyDescent="0.3">
      <c r="A100" s="1" t="s">
        <v>1347</v>
      </c>
      <c r="B100" s="1" t="s">
        <v>1209</v>
      </c>
    </row>
    <row r="101" spans="1:2" x14ac:dyDescent="0.3">
      <c r="A101" s="1" t="s">
        <v>1348</v>
      </c>
      <c r="B101" s="1" t="s">
        <v>1210</v>
      </c>
    </row>
    <row r="102" spans="1:2" x14ac:dyDescent="0.3">
      <c r="A102" s="1" t="s">
        <v>1349</v>
      </c>
      <c r="B102" s="1" t="s">
        <v>1211</v>
      </c>
    </row>
    <row r="103" spans="1:2" x14ac:dyDescent="0.3">
      <c r="A103" s="1" t="s">
        <v>1350</v>
      </c>
      <c r="B103" s="1" t="s">
        <v>1212</v>
      </c>
    </row>
    <row r="104" spans="1:2" x14ac:dyDescent="0.3">
      <c r="A104" s="1" t="s">
        <v>1351</v>
      </c>
      <c r="B104" s="1" t="s">
        <v>1213</v>
      </c>
    </row>
    <row r="105" spans="1:2" x14ac:dyDescent="0.3">
      <c r="A105" s="1" t="s">
        <v>1352</v>
      </c>
      <c r="B105" s="1" t="s">
        <v>1214</v>
      </c>
    </row>
    <row r="106" spans="1:2" x14ac:dyDescent="0.3">
      <c r="A106" s="1" t="s">
        <v>1353</v>
      </c>
      <c r="B106" s="1" t="s">
        <v>1215</v>
      </c>
    </row>
    <row r="107" spans="1:2" x14ac:dyDescent="0.3">
      <c r="A107" s="1" t="s">
        <v>1354</v>
      </c>
      <c r="B107" s="1" t="s">
        <v>1216</v>
      </c>
    </row>
    <row r="108" spans="1:2" x14ac:dyDescent="0.3">
      <c r="A108" s="1" t="s">
        <v>1355</v>
      </c>
      <c r="B108" s="1" t="s">
        <v>1217</v>
      </c>
    </row>
    <row r="109" spans="1:2" x14ac:dyDescent="0.3">
      <c r="A109" s="1" t="s">
        <v>1356</v>
      </c>
      <c r="B109" s="1" t="s">
        <v>1218</v>
      </c>
    </row>
    <row r="110" spans="1:2" x14ac:dyDescent="0.3">
      <c r="A110" t="s">
        <v>1357</v>
      </c>
      <c r="B110" t="s">
        <v>1219</v>
      </c>
    </row>
    <row r="111" spans="1:2" x14ac:dyDescent="0.3">
      <c r="A111" t="s">
        <v>1358</v>
      </c>
      <c r="B111" t="s">
        <v>1220</v>
      </c>
    </row>
    <row r="112" spans="1:2" x14ac:dyDescent="0.3">
      <c r="A112" t="s">
        <v>1359</v>
      </c>
      <c r="B112" t="s">
        <v>1221</v>
      </c>
    </row>
    <row r="113" spans="1:2" x14ac:dyDescent="0.3">
      <c r="A113" t="s">
        <v>1360</v>
      </c>
      <c r="B113" t="s">
        <v>1222</v>
      </c>
    </row>
    <row r="114" spans="1:2" x14ac:dyDescent="0.3">
      <c r="A114" t="s">
        <v>1362</v>
      </c>
      <c r="B114" t="s">
        <v>1223</v>
      </c>
    </row>
    <row r="115" spans="1:2" x14ac:dyDescent="0.3">
      <c r="A115" t="s">
        <v>1363</v>
      </c>
      <c r="B115" t="s">
        <v>1224</v>
      </c>
    </row>
    <row r="116" spans="1:2" x14ac:dyDescent="0.3">
      <c r="A116" t="s">
        <v>1364</v>
      </c>
      <c r="B116" t="s">
        <v>1225</v>
      </c>
    </row>
    <row r="117" spans="1:2" x14ac:dyDescent="0.3">
      <c r="A117" t="s">
        <v>1365</v>
      </c>
      <c r="B117" t="s">
        <v>1226</v>
      </c>
    </row>
    <row r="118" spans="1:2" x14ac:dyDescent="0.3">
      <c r="A118" t="s">
        <v>1366</v>
      </c>
      <c r="B118" t="s">
        <v>1227</v>
      </c>
    </row>
    <row r="119" spans="1:2" x14ac:dyDescent="0.3">
      <c r="A119" t="s">
        <v>1367</v>
      </c>
      <c r="B119" t="s">
        <v>1228</v>
      </c>
    </row>
    <row r="120" spans="1:2" x14ac:dyDescent="0.3">
      <c r="A120" t="s">
        <v>1368</v>
      </c>
      <c r="B120" t="s">
        <v>1229</v>
      </c>
    </row>
    <row r="121" spans="1:2" x14ac:dyDescent="0.3">
      <c r="A121" t="s">
        <v>1369</v>
      </c>
      <c r="B121" t="s">
        <v>1230</v>
      </c>
    </row>
    <row r="122" spans="1:2" x14ac:dyDescent="0.3">
      <c r="A122" t="s">
        <v>1370</v>
      </c>
      <c r="B122" t="s">
        <v>1231</v>
      </c>
    </row>
    <row r="123" spans="1:2" x14ac:dyDescent="0.3">
      <c r="A123" t="s">
        <v>1371</v>
      </c>
      <c r="B123" t="s">
        <v>1232</v>
      </c>
    </row>
    <row r="124" spans="1:2" x14ac:dyDescent="0.3">
      <c r="A124" t="s">
        <v>1372</v>
      </c>
      <c r="B124" t="s">
        <v>1233</v>
      </c>
    </row>
  </sheetData>
  <conditionalFormatting sqref="A1:A109">
    <cfRule type="duplicateValues" dxfId="0" priority="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B2E5-D043-4555-A82F-92523A8786D1}">
  <dimension ref="A1:A497"/>
  <sheetViews>
    <sheetView tabSelected="1" topLeftCell="A224" workbookViewId="0">
      <selection activeCell="A236" sqref="A236"/>
    </sheetView>
  </sheetViews>
  <sheetFormatPr defaultRowHeight="14.4" x14ac:dyDescent="0.3"/>
  <cols>
    <col min="1" max="1" width="64.77734375" bestFit="1" customWidth="1"/>
  </cols>
  <sheetData>
    <row r="1" spans="1:1" x14ac:dyDescent="0.3">
      <c r="A1" t="s">
        <v>1378</v>
      </c>
    </row>
    <row r="2" spans="1:1" x14ac:dyDescent="0.3">
      <c r="A2" t="s">
        <v>1379</v>
      </c>
    </row>
    <row r="3" spans="1:1" x14ac:dyDescent="0.3">
      <c r="A3" t="s">
        <v>1380</v>
      </c>
    </row>
    <row r="4" spans="1:1" x14ac:dyDescent="0.3">
      <c r="A4" t="s">
        <v>1381</v>
      </c>
    </row>
    <row r="5" spans="1:1" x14ac:dyDescent="0.3">
      <c r="A5" t="s">
        <v>1382</v>
      </c>
    </row>
    <row r="6" spans="1:1" x14ac:dyDescent="0.3">
      <c r="A6" t="s">
        <v>1383</v>
      </c>
    </row>
    <row r="7" spans="1:1" x14ac:dyDescent="0.3">
      <c r="A7" t="s">
        <v>1384</v>
      </c>
    </row>
    <row r="8" spans="1:1" x14ac:dyDescent="0.3">
      <c r="A8" t="s">
        <v>1385</v>
      </c>
    </row>
    <row r="9" spans="1:1" x14ac:dyDescent="0.3">
      <c r="A9" t="s">
        <v>1386</v>
      </c>
    </row>
    <row r="10" spans="1:1" x14ac:dyDescent="0.3">
      <c r="A10" t="s">
        <v>1387</v>
      </c>
    </row>
    <row r="11" spans="1:1" x14ac:dyDescent="0.3">
      <c r="A11" t="s">
        <v>1388</v>
      </c>
    </row>
    <row r="12" spans="1:1" x14ac:dyDescent="0.3">
      <c r="A12" t="s">
        <v>1389</v>
      </c>
    </row>
    <row r="13" spans="1:1" x14ac:dyDescent="0.3">
      <c r="A13" t="s">
        <v>1390</v>
      </c>
    </row>
    <row r="14" spans="1:1" x14ac:dyDescent="0.3">
      <c r="A14" t="s">
        <v>1391</v>
      </c>
    </row>
    <row r="15" spans="1:1" x14ac:dyDescent="0.3">
      <c r="A15" t="s">
        <v>1392</v>
      </c>
    </row>
    <row r="16" spans="1:1" x14ac:dyDescent="0.3">
      <c r="A16" t="s">
        <v>1393</v>
      </c>
    </row>
    <row r="17" spans="1:1" x14ac:dyDescent="0.3">
      <c r="A17" t="s">
        <v>1394</v>
      </c>
    </row>
    <row r="18" spans="1:1" x14ac:dyDescent="0.3">
      <c r="A18" t="s">
        <v>1395</v>
      </c>
    </row>
    <row r="19" spans="1:1" x14ac:dyDescent="0.3">
      <c r="A19" t="s">
        <v>1396</v>
      </c>
    </row>
    <row r="20" spans="1:1" x14ac:dyDescent="0.3">
      <c r="A20" t="s">
        <v>1397</v>
      </c>
    </row>
    <row r="21" spans="1:1" x14ac:dyDescent="0.3">
      <c r="A21" t="s">
        <v>1398</v>
      </c>
    </row>
    <row r="22" spans="1:1" x14ac:dyDescent="0.3">
      <c r="A22" t="s">
        <v>1399</v>
      </c>
    </row>
    <row r="23" spans="1:1" x14ac:dyDescent="0.3">
      <c r="A23" t="s">
        <v>1400</v>
      </c>
    </row>
    <row r="24" spans="1:1" x14ac:dyDescent="0.3">
      <c r="A24" t="s">
        <v>1401</v>
      </c>
    </row>
    <row r="25" spans="1:1" x14ac:dyDescent="0.3">
      <c r="A25" t="s">
        <v>1402</v>
      </c>
    </row>
    <row r="26" spans="1:1" x14ac:dyDescent="0.3">
      <c r="A26" t="s">
        <v>1403</v>
      </c>
    </row>
    <row r="27" spans="1:1" x14ac:dyDescent="0.3">
      <c r="A27" t="s">
        <v>1404</v>
      </c>
    </row>
    <row r="28" spans="1:1" x14ac:dyDescent="0.3">
      <c r="A28" t="s">
        <v>1405</v>
      </c>
    </row>
    <row r="29" spans="1:1" x14ac:dyDescent="0.3">
      <c r="A29" t="s">
        <v>1406</v>
      </c>
    </row>
    <row r="30" spans="1:1" x14ac:dyDescent="0.3">
      <c r="A30" t="s">
        <v>1407</v>
      </c>
    </row>
    <row r="31" spans="1:1" x14ac:dyDescent="0.3">
      <c r="A31" t="s">
        <v>1408</v>
      </c>
    </row>
    <row r="32" spans="1:1" x14ac:dyDescent="0.3">
      <c r="A32" t="s">
        <v>1409</v>
      </c>
    </row>
    <row r="33" spans="1:1" x14ac:dyDescent="0.3">
      <c r="A33" t="s">
        <v>1410</v>
      </c>
    </row>
    <row r="34" spans="1:1" x14ac:dyDescent="0.3">
      <c r="A34" t="s">
        <v>1411</v>
      </c>
    </row>
    <row r="35" spans="1:1" x14ac:dyDescent="0.3">
      <c r="A35" t="s">
        <v>1412</v>
      </c>
    </row>
    <row r="36" spans="1:1" x14ac:dyDescent="0.3">
      <c r="A36" t="s">
        <v>1413</v>
      </c>
    </row>
    <row r="37" spans="1:1" x14ac:dyDescent="0.3">
      <c r="A37" t="s">
        <v>1414</v>
      </c>
    </row>
    <row r="38" spans="1:1" x14ac:dyDescent="0.3">
      <c r="A38" t="s">
        <v>1415</v>
      </c>
    </row>
    <row r="39" spans="1:1" x14ac:dyDescent="0.3">
      <c r="A39" t="s">
        <v>1416</v>
      </c>
    </row>
    <row r="40" spans="1:1" x14ac:dyDescent="0.3">
      <c r="A40" t="s">
        <v>1417</v>
      </c>
    </row>
    <row r="41" spans="1:1" x14ac:dyDescent="0.3">
      <c r="A41" t="s">
        <v>1418</v>
      </c>
    </row>
    <row r="42" spans="1:1" x14ac:dyDescent="0.3">
      <c r="A42" t="s">
        <v>1419</v>
      </c>
    </row>
    <row r="43" spans="1:1" x14ac:dyDescent="0.3">
      <c r="A43" t="s">
        <v>1420</v>
      </c>
    </row>
    <row r="44" spans="1:1" x14ac:dyDescent="0.3">
      <c r="A44" t="s">
        <v>1421</v>
      </c>
    </row>
    <row r="45" spans="1:1" x14ac:dyDescent="0.3">
      <c r="A45" t="s">
        <v>1422</v>
      </c>
    </row>
    <row r="46" spans="1:1" x14ac:dyDescent="0.3">
      <c r="A46" t="s">
        <v>1423</v>
      </c>
    </row>
    <row r="47" spans="1:1" x14ac:dyDescent="0.3">
      <c r="A47" t="s">
        <v>1424</v>
      </c>
    </row>
    <row r="48" spans="1:1" x14ac:dyDescent="0.3">
      <c r="A48" t="s">
        <v>1425</v>
      </c>
    </row>
    <row r="49" spans="1:1" x14ac:dyDescent="0.3">
      <c r="A49" t="s">
        <v>1426</v>
      </c>
    </row>
    <row r="50" spans="1:1" x14ac:dyDescent="0.3">
      <c r="A50" t="s">
        <v>1427</v>
      </c>
    </row>
    <row r="51" spans="1:1" x14ac:dyDescent="0.3">
      <c r="A51" t="s">
        <v>1428</v>
      </c>
    </row>
    <row r="52" spans="1:1" x14ac:dyDescent="0.3">
      <c r="A52" t="s">
        <v>1429</v>
      </c>
    </row>
    <row r="53" spans="1:1" x14ac:dyDescent="0.3">
      <c r="A53" t="s">
        <v>1430</v>
      </c>
    </row>
    <row r="54" spans="1:1" x14ac:dyDescent="0.3">
      <c r="A54" t="s">
        <v>1431</v>
      </c>
    </row>
    <row r="55" spans="1:1" x14ac:dyDescent="0.3">
      <c r="A55" t="s">
        <v>1432</v>
      </c>
    </row>
    <row r="56" spans="1:1" x14ac:dyDescent="0.3">
      <c r="A56" t="s">
        <v>1433</v>
      </c>
    </row>
    <row r="57" spans="1:1" x14ac:dyDescent="0.3">
      <c r="A57" t="s">
        <v>1434</v>
      </c>
    </row>
    <row r="58" spans="1:1" x14ac:dyDescent="0.3">
      <c r="A58" t="s">
        <v>1435</v>
      </c>
    </row>
    <row r="59" spans="1:1" x14ac:dyDescent="0.3">
      <c r="A59" t="s">
        <v>1436</v>
      </c>
    </row>
    <row r="60" spans="1:1" x14ac:dyDescent="0.3">
      <c r="A60" t="s">
        <v>1437</v>
      </c>
    </row>
    <row r="61" spans="1:1" x14ac:dyDescent="0.3">
      <c r="A61" t="s">
        <v>1438</v>
      </c>
    </row>
    <row r="62" spans="1:1" x14ac:dyDescent="0.3">
      <c r="A62" t="s">
        <v>1439</v>
      </c>
    </row>
    <row r="63" spans="1:1" x14ac:dyDescent="0.3">
      <c r="A63" t="s">
        <v>1440</v>
      </c>
    </row>
    <row r="64" spans="1:1" x14ac:dyDescent="0.3">
      <c r="A64" t="s">
        <v>1441</v>
      </c>
    </row>
    <row r="65" spans="1:1" x14ac:dyDescent="0.3">
      <c r="A65" t="s">
        <v>1442</v>
      </c>
    </row>
    <row r="66" spans="1:1" x14ac:dyDescent="0.3">
      <c r="A66" t="s">
        <v>1443</v>
      </c>
    </row>
    <row r="67" spans="1:1" x14ac:dyDescent="0.3">
      <c r="A67" t="s">
        <v>1444</v>
      </c>
    </row>
    <row r="68" spans="1:1" x14ac:dyDescent="0.3">
      <c r="A68" t="s">
        <v>1445</v>
      </c>
    </row>
    <row r="69" spans="1:1" x14ac:dyDescent="0.3">
      <c r="A69" t="s">
        <v>1446</v>
      </c>
    </row>
    <row r="70" spans="1:1" x14ac:dyDescent="0.3">
      <c r="A70" t="s">
        <v>1447</v>
      </c>
    </row>
    <row r="71" spans="1:1" x14ac:dyDescent="0.3">
      <c r="A71" t="s">
        <v>1448</v>
      </c>
    </row>
    <row r="72" spans="1:1" x14ac:dyDescent="0.3">
      <c r="A72" t="s">
        <v>1449</v>
      </c>
    </row>
    <row r="73" spans="1:1" x14ac:dyDescent="0.3">
      <c r="A73" t="s">
        <v>1450</v>
      </c>
    </row>
    <row r="74" spans="1:1" x14ac:dyDescent="0.3">
      <c r="A74" t="s">
        <v>1451</v>
      </c>
    </row>
    <row r="75" spans="1:1" x14ac:dyDescent="0.3">
      <c r="A75" t="s">
        <v>1452</v>
      </c>
    </row>
    <row r="76" spans="1:1" x14ac:dyDescent="0.3">
      <c r="A76" t="s">
        <v>1453</v>
      </c>
    </row>
    <row r="77" spans="1:1" x14ac:dyDescent="0.3">
      <c r="A77" t="s">
        <v>1454</v>
      </c>
    </row>
    <row r="78" spans="1:1" x14ac:dyDescent="0.3">
      <c r="A78" t="s">
        <v>1455</v>
      </c>
    </row>
    <row r="79" spans="1:1" x14ac:dyDescent="0.3">
      <c r="A79" t="s">
        <v>1456</v>
      </c>
    </row>
    <row r="80" spans="1:1" x14ac:dyDescent="0.3">
      <c r="A80" t="s">
        <v>1457</v>
      </c>
    </row>
    <row r="81" spans="1:1" x14ac:dyDescent="0.3">
      <c r="A81" t="s">
        <v>1458</v>
      </c>
    </row>
    <row r="82" spans="1:1" x14ac:dyDescent="0.3">
      <c r="A82" t="s">
        <v>1459</v>
      </c>
    </row>
    <row r="83" spans="1:1" x14ac:dyDescent="0.3">
      <c r="A83" t="s">
        <v>1460</v>
      </c>
    </row>
    <row r="84" spans="1:1" x14ac:dyDescent="0.3">
      <c r="A84" t="s">
        <v>1461</v>
      </c>
    </row>
    <row r="85" spans="1:1" x14ac:dyDescent="0.3">
      <c r="A85" t="s">
        <v>1462</v>
      </c>
    </row>
    <row r="86" spans="1:1" x14ac:dyDescent="0.3">
      <c r="A86" t="s">
        <v>1463</v>
      </c>
    </row>
    <row r="87" spans="1:1" x14ac:dyDescent="0.3">
      <c r="A87" t="s">
        <v>1464</v>
      </c>
    </row>
    <row r="88" spans="1:1" x14ac:dyDescent="0.3">
      <c r="A88" t="s">
        <v>1465</v>
      </c>
    </row>
    <row r="89" spans="1:1" x14ac:dyDescent="0.3">
      <c r="A89" t="s">
        <v>1466</v>
      </c>
    </row>
    <row r="90" spans="1:1" x14ac:dyDescent="0.3">
      <c r="A90" t="s">
        <v>1467</v>
      </c>
    </row>
    <row r="91" spans="1:1" x14ac:dyDescent="0.3">
      <c r="A91" t="s">
        <v>1468</v>
      </c>
    </row>
    <row r="92" spans="1:1" x14ac:dyDescent="0.3">
      <c r="A92" t="s">
        <v>1469</v>
      </c>
    </row>
    <row r="93" spans="1:1" x14ac:dyDescent="0.3">
      <c r="A93" t="s">
        <v>1470</v>
      </c>
    </row>
    <row r="94" spans="1:1" x14ac:dyDescent="0.3">
      <c r="A94" t="s">
        <v>1471</v>
      </c>
    </row>
    <row r="95" spans="1:1" x14ac:dyDescent="0.3">
      <c r="A95" t="s">
        <v>1472</v>
      </c>
    </row>
    <row r="96" spans="1:1" x14ac:dyDescent="0.3">
      <c r="A96" t="s">
        <v>1473</v>
      </c>
    </row>
    <row r="97" spans="1:1" x14ac:dyDescent="0.3">
      <c r="A97" t="s">
        <v>1474</v>
      </c>
    </row>
    <row r="98" spans="1:1" x14ac:dyDescent="0.3">
      <c r="A98" t="s">
        <v>1475</v>
      </c>
    </row>
    <row r="99" spans="1:1" x14ac:dyDescent="0.3">
      <c r="A99" t="s">
        <v>1476</v>
      </c>
    </row>
    <row r="100" spans="1:1" x14ac:dyDescent="0.3">
      <c r="A100" t="s">
        <v>1477</v>
      </c>
    </row>
    <row r="101" spans="1:1" x14ac:dyDescent="0.3">
      <c r="A101" t="s">
        <v>1478</v>
      </c>
    </row>
    <row r="102" spans="1:1" x14ac:dyDescent="0.3">
      <c r="A102" t="s">
        <v>1479</v>
      </c>
    </row>
    <row r="103" spans="1:1" x14ac:dyDescent="0.3">
      <c r="A103" t="s">
        <v>1480</v>
      </c>
    </row>
    <row r="104" spans="1:1" x14ac:dyDescent="0.3">
      <c r="A104" t="s">
        <v>1481</v>
      </c>
    </row>
    <row r="105" spans="1:1" x14ac:dyDescent="0.3">
      <c r="A105" t="s">
        <v>1482</v>
      </c>
    </row>
    <row r="106" spans="1:1" x14ac:dyDescent="0.3">
      <c r="A106" t="s">
        <v>1483</v>
      </c>
    </row>
    <row r="107" spans="1:1" x14ac:dyDescent="0.3">
      <c r="A107" t="s">
        <v>1484</v>
      </c>
    </row>
    <row r="108" spans="1:1" x14ac:dyDescent="0.3">
      <c r="A108" t="s">
        <v>1485</v>
      </c>
    </row>
    <row r="109" spans="1:1" x14ac:dyDescent="0.3">
      <c r="A109" t="s">
        <v>1486</v>
      </c>
    </row>
    <row r="110" spans="1:1" x14ac:dyDescent="0.3">
      <c r="A110" t="s">
        <v>1487</v>
      </c>
    </row>
    <row r="111" spans="1:1" x14ac:dyDescent="0.3">
      <c r="A111" t="s">
        <v>1488</v>
      </c>
    </row>
    <row r="112" spans="1:1" x14ac:dyDescent="0.3">
      <c r="A112" t="s">
        <v>1489</v>
      </c>
    </row>
    <row r="113" spans="1:1" x14ac:dyDescent="0.3">
      <c r="A113" t="s">
        <v>1490</v>
      </c>
    </row>
    <row r="114" spans="1:1" x14ac:dyDescent="0.3">
      <c r="A114" t="s">
        <v>1491</v>
      </c>
    </row>
    <row r="115" spans="1:1" x14ac:dyDescent="0.3">
      <c r="A115" t="s">
        <v>1492</v>
      </c>
    </row>
    <row r="116" spans="1:1" x14ac:dyDescent="0.3">
      <c r="A116" t="s">
        <v>1493</v>
      </c>
    </row>
    <row r="117" spans="1:1" x14ac:dyDescent="0.3">
      <c r="A117" t="s">
        <v>1494</v>
      </c>
    </row>
    <row r="118" spans="1:1" x14ac:dyDescent="0.3">
      <c r="A118" t="s">
        <v>1495</v>
      </c>
    </row>
    <row r="119" spans="1:1" x14ac:dyDescent="0.3">
      <c r="A119" t="s">
        <v>1496</v>
      </c>
    </row>
    <row r="120" spans="1:1" x14ac:dyDescent="0.3">
      <c r="A120" t="s">
        <v>1497</v>
      </c>
    </row>
    <row r="121" spans="1:1" x14ac:dyDescent="0.3">
      <c r="A121" t="s">
        <v>1498</v>
      </c>
    </row>
    <row r="122" spans="1:1" x14ac:dyDescent="0.3">
      <c r="A122" t="s">
        <v>1499</v>
      </c>
    </row>
    <row r="123" spans="1:1" x14ac:dyDescent="0.3">
      <c r="A123" t="s">
        <v>1500</v>
      </c>
    </row>
    <row r="124" spans="1:1" x14ac:dyDescent="0.3">
      <c r="A124" t="s">
        <v>1501</v>
      </c>
    </row>
    <row r="125" spans="1:1" x14ac:dyDescent="0.3">
      <c r="A125" t="s">
        <v>1502</v>
      </c>
    </row>
    <row r="126" spans="1:1" x14ac:dyDescent="0.3">
      <c r="A126" t="s">
        <v>1503</v>
      </c>
    </row>
    <row r="127" spans="1:1" x14ac:dyDescent="0.3">
      <c r="A127" t="s">
        <v>1504</v>
      </c>
    </row>
    <row r="128" spans="1:1" x14ac:dyDescent="0.3">
      <c r="A128" t="s">
        <v>1505</v>
      </c>
    </row>
    <row r="129" spans="1:1" x14ac:dyDescent="0.3">
      <c r="A129" t="s">
        <v>1506</v>
      </c>
    </row>
    <row r="130" spans="1:1" x14ac:dyDescent="0.3">
      <c r="A130" t="s">
        <v>1507</v>
      </c>
    </row>
    <row r="131" spans="1:1" x14ac:dyDescent="0.3">
      <c r="A131" t="s">
        <v>1508</v>
      </c>
    </row>
    <row r="132" spans="1:1" x14ac:dyDescent="0.3">
      <c r="A132" t="s">
        <v>1509</v>
      </c>
    </row>
    <row r="133" spans="1:1" x14ac:dyDescent="0.3">
      <c r="A133" t="s">
        <v>1510</v>
      </c>
    </row>
    <row r="134" spans="1:1" x14ac:dyDescent="0.3">
      <c r="A134" t="s">
        <v>1511</v>
      </c>
    </row>
    <row r="135" spans="1:1" x14ac:dyDescent="0.3">
      <c r="A135" t="s">
        <v>1512</v>
      </c>
    </row>
    <row r="136" spans="1:1" x14ac:dyDescent="0.3">
      <c r="A136" t="s">
        <v>1513</v>
      </c>
    </row>
    <row r="137" spans="1:1" x14ac:dyDescent="0.3">
      <c r="A137" t="s">
        <v>1514</v>
      </c>
    </row>
    <row r="138" spans="1:1" x14ac:dyDescent="0.3">
      <c r="A138" t="s">
        <v>1515</v>
      </c>
    </row>
    <row r="139" spans="1:1" x14ac:dyDescent="0.3">
      <c r="A139" t="s">
        <v>1516</v>
      </c>
    </row>
    <row r="140" spans="1:1" x14ac:dyDescent="0.3">
      <c r="A140" t="s">
        <v>1517</v>
      </c>
    </row>
    <row r="141" spans="1:1" x14ac:dyDescent="0.3">
      <c r="A141" t="s">
        <v>1518</v>
      </c>
    </row>
    <row r="142" spans="1:1" x14ac:dyDescent="0.3">
      <c r="A142" t="s">
        <v>1519</v>
      </c>
    </row>
    <row r="143" spans="1:1" x14ac:dyDescent="0.3">
      <c r="A143" t="s">
        <v>1520</v>
      </c>
    </row>
    <row r="144" spans="1:1" x14ac:dyDescent="0.3">
      <c r="A144" t="s">
        <v>1521</v>
      </c>
    </row>
    <row r="145" spans="1:1" x14ac:dyDescent="0.3">
      <c r="A145" t="s">
        <v>1522</v>
      </c>
    </row>
    <row r="146" spans="1:1" x14ac:dyDescent="0.3">
      <c r="A146" t="s">
        <v>1523</v>
      </c>
    </row>
    <row r="147" spans="1:1" x14ac:dyDescent="0.3">
      <c r="A147" t="s">
        <v>1524</v>
      </c>
    </row>
    <row r="148" spans="1:1" x14ac:dyDescent="0.3">
      <c r="A148" t="s">
        <v>1525</v>
      </c>
    </row>
    <row r="149" spans="1:1" x14ac:dyDescent="0.3">
      <c r="A149" t="s">
        <v>1526</v>
      </c>
    </row>
    <row r="150" spans="1:1" x14ac:dyDescent="0.3">
      <c r="A150" t="s">
        <v>1527</v>
      </c>
    </row>
    <row r="151" spans="1:1" x14ac:dyDescent="0.3">
      <c r="A151" t="s">
        <v>1528</v>
      </c>
    </row>
    <row r="152" spans="1:1" x14ac:dyDescent="0.3">
      <c r="A152" t="s">
        <v>1529</v>
      </c>
    </row>
    <row r="153" spans="1:1" x14ac:dyDescent="0.3">
      <c r="A153" t="s">
        <v>1530</v>
      </c>
    </row>
    <row r="154" spans="1:1" x14ac:dyDescent="0.3">
      <c r="A154" t="s">
        <v>1531</v>
      </c>
    </row>
    <row r="155" spans="1:1" x14ac:dyDescent="0.3">
      <c r="A155" t="s">
        <v>1532</v>
      </c>
    </row>
    <row r="156" spans="1:1" x14ac:dyDescent="0.3">
      <c r="A156" t="s">
        <v>1533</v>
      </c>
    </row>
    <row r="157" spans="1:1" x14ac:dyDescent="0.3">
      <c r="A157" t="s">
        <v>1534</v>
      </c>
    </row>
    <row r="158" spans="1:1" x14ac:dyDescent="0.3">
      <c r="A158" t="s">
        <v>1535</v>
      </c>
    </row>
    <row r="159" spans="1:1" x14ac:dyDescent="0.3">
      <c r="A159" t="s">
        <v>1536</v>
      </c>
    </row>
    <row r="160" spans="1:1" x14ac:dyDescent="0.3">
      <c r="A160" t="s">
        <v>1537</v>
      </c>
    </row>
    <row r="161" spans="1:1" x14ac:dyDescent="0.3">
      <c r="A161" t="s">
        <v>1538</v>
      </c>
    </row>
    <row r="162" spans="1:1" x14ac:dyDescent="0.3">
      <c r="A162" t="s">
        <v>1539</v>
      </c>
    </row>
    <row r="163" spans="1:1" x14ac:dyDescent="0.3">
      <c r="A163" t="s">
        <v>1540</v>
      </c>
    </row>
    <row r="164" spans="1:1" x14ac:dyDescent="0.3">
      <c r="A164" t="s">
        <v>1541</v>
      </c>
    </row>
    <row r="165" spans="1:1" x14ac:dyDescent="0.3">
      <c r="A165" t="s">
        <v>1542</v>
      </c>
    </row>
    <row r="166" spans="1:1" x14ac:dyDescent="0.3">
      <c r="A166" t="s">
        <v>1543</v>
      </c>
    </row>
    <row r="167" spans="1:1" x14ac:dyDescent="0.3">
      <c r="A167" t="s">
        <v>1544</v>
      </c>
    </row>
    <row r="168" spans="1:1" x14ac:dyDescent="0.3">
      <c r="A168" t="s">
        <v>1545</v>
      </c>
    </row>
    <row r="169" spans="1:1" x14ac:dyDescent="0.3">
      <c r="A169" t="s">
        <v>1546</v>
      </c>
    </row>
    <row r="170" spans="1:1" x14ac:dyDescent="0.3">
      <c r="A170" t="s">
        <v>1547</v>
      </c>
    </row>
    <row r="171" spans="1:1" x14ac:dyDescent="0.3">
      <c r="A171" t="s">
        <v>1548</v>
      </c>
    </row>
    <row r="172" spans="1:1" x14ac:dyDescent="0.3">
      <c r="A172" t="s">
        <v>1549</v>
      </c>
    </row>
    <row r="173" spans="1:1" x14ac:dyDescent="0.3">
      <c r="A173" t="s">
        <v>1550</v>
      </c>
    </row>
    <row r="174" spans="1:1" x14ac:dyDescent="0.3">
      <c r="A174" t="s">
        <v>1551</v>
      </c>
    </row>
    <row r="175" spans="1:1" x14ac:dyDescent="0.3">
      <c r="A175" t="s">
        <v>1552</v>
      </c>
    </row>
    <row r="176" spans="1:1" x14ac:dyDescent="0.3">
      <c r="A176" t="s">
        <v>1553</v>
      </c>
    </row>
    <row r="177" spans="1:1" x14ac:dyDescent="0.3">
      <c r="A177" t="s">
        <v>1554</v>
      </c>
    </row>
    <row r="178" spans="1:1" x14ac:dyDescent="0.3">
      <c r="A178" t="s">
        <v>1555</v>
      </c>
    </row>
    <row r="179" spans="1:1" x14ac:dyDescent="0.3">
      <c r="A179" t="s">
        <v>1556</v>
      </c>
    </row>
    <row r="180" spans="1:1" x14ac:dyDescent="0.3">
      <c r="A180" t="s">
        <v>1557</v>
      </c>
    </row>
    <row r="181" spans="1:1" x14ac:dyDescent="0.3">
      <c r="A181" t="s">
        <v>1558</v>
      </c>
    </row>
    <row r="182" spans="1:1" x14ac:dyDescent="0.3">
      <c r="A182" t="s">
        <v>1559</v>
      </c>
    </row>
    <row r="183" spans="1:1" x14ac:dyDescent="0.3">
      <c r="A183" t="s">
        <v>1560</v>
      </c>
    </row>
    <row r="184" spans="1:1" x14ac:dyDescent="0.3">
      <c r="A184" t="s">
        <v>1561</v>
      </c>
    </row>
    <row r="185" spans="1:1" x14ac:dyDescent="0.3">
      <c r="A185" t="s">
        <v>1562</v>
      </c>
    </row>
    <row r="186" spans="1:1" x14ac:dyDescent="0.3">
      <c r="A186" t="s">
        <v>1563</v>
      </c>
    </row>
    <row r="187" spans="1:1" x14ac:dyDescent="0.3">
      <c r="A187" t="s">
        <v>1564</v>
      </c>
    </row>
    <row r="188" spans="1:1" x14ac:dyDescent="0.3">
      <c r="A188" t="s">
        <v>1565</v>
      </c>
    </row>
    <row r="189" spans="1:1" x14ac:dyDescent="0.3">
      <c r="A189" t="s">
        <v>1566</v>
      </c>
    </row>
    <row r="190" spans="1:1" x14ac:dyDescent="0.3">
      <c r="A190" t="s">
        <v>1567</v>
      </c>
    </row>
    <row r="191" spans="1:1" x14ac:dyDescent="0.3">
      <c r="A191" t="s">
        <v>1568</v>
      </c>
    </row>
    <row r="192" spans="1:1" x14ac:dyDescent="0.3">
      <c r="A192" t="s">
        <v>1569</v>
      </c>
    </row>
    <row r="193" spans="1:1" x14ac:dyDescent="0.3">
      <c r="A193" t="s">
        <v>1570</v>
      </c>
    </row>
    <row r="194" spans="1:1" x14ac:dyDescent="0.3">
      <c r="A194" t="s">
        <v>1571</v>
      </c>
    </row>
    <row r="195" spans="1:1" x14ac:dyDescent="0.3">
      <c r="A195" t="s">
        <v>1572</v>
      </c>
    </row>
    <row r="196" spans="1:1" x14ac:dyDescent="0.3">
      <c r="A196" t="s">
        <v>1573</v>
      </c>
    </row>
    <row r="197" spans="1:1" x14ac:dyDescent="0.3">
      <c r="A197" t="s">
        <v>1574</v>
      </c>
    </row>
    <row r="198" spans="1:1" x14ac:dyDescent="0.3">
      <c r="A198" t="s">
        <v>1575</v>
      </c>
    </row>
    <row r="199" spans="1:1" x14ac:dyDescent="0.3">
      <c r="A199" t="s">
        <v>1576</v>
      </c>
    </row>
    <row r="200" spans="1:1" x14ac:dyDescent="0.3">
      <c r="A200" t="s">
        <v>1577</v>
      </c>
    </row>
    <row r="201" spans="1:1" x14ac:dyDescent="0.3">
      <c r="A201" t="s">
        <v>1578</v>
      </c>
    </row>
    <row r="202" spans="1:1" x14ac:dyDescent="0.3">
      <c r="A202" t="s">
        <v>1579</v>
      </c>
    </row>
    <row r="203" spans="1:1" x14ac:dyDescent="0.3">
      <c r="A203" t="s">
        <v>1580</v>
      </c>
    </row>
    <row r="204" spans="1:1" x14ac:dyDescent="0.3">
      <c r="A204" t="s">
        <v>1581</v>
      </c>
    </row>
    <row r="205" spans="1:1" x14ac:dyDescent="0.3">
      <c r="A205" t="s">
        <v>1582</v>
      </c>
    </row>
    <row r="206" spans="1:1" x14ac:dyDescent="0.3">
      <c r="A206" t="s">
        <v>1583</v>
      </c>
    </row>
    <row r="207" spans="1:1" x14ac:dyDescent="0.3">
      <c r="A207" t="s">
        <v>1584</v>
      </c>
    </row>
    <row r="208" spans="1:1" x14ac:dyDescent="0.3">
      <c r="A208" t="s">
        <v>1585</v>
      </c>
    </row>
    <row r="209" spans="1:1" x14ac:dyDescent="0.3">
      <c r="A209" t="s">
        <v>1586</v>
      </c>
    </row>
    <row r="210" spans="1:1" x14ac:dyDescent="0.3">
      <c r="A210" t="s">
        <v>1587</v>
      </c>
    </row>
    <row r="211" spans="1:1" x14ac:dyDescent="0.3">
      <c r="A211" t="s">
        <v>1588</v>
      </c>
    </row>
    <row r="212" spans="1:1" x14ac:dyDescent="0.3">
      <c r="A212" t="s">
        <v>1589</v>
      </c>
    </row>
    <row r="213" spans="1:1" x14ac:dyDescent="0.3">
      <c r="A213" t="s">
        <v>1590</v>
      </c>
    </row>
    <row r="214" spans="1:1" x14ac:dyDescent="0.3">
      <c r="A214" t="s">
        <v>1591</v>
      </c>
    </row>
    <row r="215" spans="1:1" x14ac:dyDescent="0.3">
      <c r="A215" t="s">
        <v>1592</v>
      </c>
    </row>
    <row r="216" spans="1:1" x14ac:dyDescent="0.3">
      <c r="A216" t="s">
        <v>1593</v>
      </c>
    </row>
    <row r="217" spans="1:1" x14ac:dyDescent="0.3">
      <c r="A217" t="s">
        <v>1594</v>
      </c>
    </row>
    <row r="218" spans="1:1" x14ac:dyDescent="0.3">
      <c r="A218" t="s">
        <v>1595</v>
      </c>
    </row>
    <row r="219" spans="1:1" x14ac:dyDescent="0.3">
      <c r="A219" t="s">
        <v>1596</v>
      </c>
    </row>
    <row r="220" spans="1:1" x14ac:dyDescent="0.3">
      <c r="A220" t="s">
        <v>1597</v>
      </c>
    </row>
    <row r="221" spans="1:1" x14ac:dyDescent="0.3">
      <c r="A221" t="s">
        <v>1598</v>
      </c>
    </row>
    <row r="222" spans="1:1" x14ac:dyDescent="0.3">
      <c r="A222" t="s">
        <v>1599</v>
      </c>
    </row>
    <row r="223" spans="1:1" x14ac:dyDescent="0.3">
      <c r="A223" t="s">
        <v>1600</v>
      </c>
    </row>
    <row r="224" spans="1:1" x14ac:dyDescent="0.3">
      <c r="A224" t="s">
        <v>1601</v>
      </c>
    </row>
    <row r="225" spans="1:1" x14ac:dyDescent="0.3">
      <c r="A225" t="s">
        <v>1602</v>
      </c>
    </row>
    <row r="226" spans="1:1" x14ac:dyDescent="0.3">
      <c r="A226" t="s">
        <v>1603</v>
      </c>
    </row>
    <row r="227" spans="1:1" x14ac:dyDescent="0.3">
      <c r="A227" t="s">
        <v>1604</v>
      </c>
    </row>
    <row r="228" spans="1:1" x14ac:dyDescent="0.3">
      <c r="A228" t="s">
        <v>1605</v>
      </c>
    </row>
    <row r="229" spans="1:1" x14ac:dyDescent="0.3">
      <c r="A229" t="s">
        <v>1606</v>
      </c>
    </row>
    <row r="230" spans="1:1" x14ac:dyDescent="0.3">
      <c r="A230" t="s">
        <v>1607</v>
      </c>
    </row>
    <row r="231" spans="1:1" x14ac:dyDescent="0.3">
      <c r="A231" t="s">
        <v>1608</v>
      </c>
    </row>
    <row r="232" spans="1:1" x14ac:dyDescent="0.3">
      <c r="A232" t="s">
        <v>1609</v>
      </c>
    </row>
    <row r="233" spans="1:1" x14ac:dyDescent="0.3">
      <c r="A233" t="s">
        <v>1914</v>
      </c>
    </row>
    <row r="234" spans="1:1" x14ac:dyDescent="0.3">
      <c r="A234" t="s">
        <v>1610</v>
      </c>
    </row>
    <row r="235" spans="1:1" x14ac:dyDescent="0.3">
      <c r="A235" t="s">
        <v>1915</v>
      </c>
    </row>
    <row r="236" spans="1:1" x14ac:dyDescent="0.3">
      <c r="A236" t="s">
        <v>1611</v>
      </c>
    </row>
    <row r="237" spans="1:1" x14ac:dyDescent="0.3">
      <c r="A237" t="s">
        <v>1612</v>
      </c>
    </row>
    <row r="238" spans="1:1" x14ac:dyDescent="0.3">
      <c r="A238" t="s">
        <v>1613</v>
      </c>
    </row>
    <row r="239" spans="1:1" x14ac:dyDescent="0.3">
      <c r="A239" t="s">
        <v>1614</v>
      </c>
    </row>
    <row r="240" spans="1:1" x14ac:dyDescent="0.3">
      <c r="A240" t="s">
        <v>1615</v>
      </c>
    </row>
    <row r="241" spans="1:1" x14ac:dyDescent="0.3">
      <c r="A241" t="s">
        <v>1616</v>
      </c>
    </row>
    <row r="242" spans="1:1" x14ac:dyDescent="0.3">
      <c r="A242" t="s">
        <v>1617</v>
      </c>
    </row>
    <row r="243" spans="1:1" x14ac:dyDescent="0.3">
      <c r="A243" t="s">
        <v>1618</v>
      </c>
    </row>
    <row r="244" spans="1:1" x14ac:dyDescent="0.3">
      <c r="A244" t="s">
        <v>1619</v>
      </c>
    </row>
    <row r="245" spans="1:1" x14ac:dyDescent="0.3">
      <c r="A245" t="s">
        <v>1620</v>
      </c>
    </row>
    <row r="246" spans="1:1" x14ac:dyDescent="0.3">
      <c r="A246" t="s">
        <v>1621</v>
      </c>
    </row>
    <row r="247" spans="1:1" x14ac:dyDescent="0.3">
      <c r="A247" t="s">
        <v>1622</v>
      </c>
    </row>
    <row r="248" spans="1:1" x14ac:dyDescent="0.3">
      <c r="A248" t="s">
        <v>1623</v>
      </c>
    </row>
    <row r="249" spans="1:1" x14ac:dyDescent="0.3">
      <c r="A249" t="s">
        <v>1624</v>
      </c>
    </row>
    <row r="250" spans="1:1" x14ac:dyDescent="0.3">
      <c r="A250" t="s">
        <v>1625</v>
      </c>
    </row>
    <row r="251" spans="1:1" x14ac:dyDescent="0.3">
      <c r="A251" t="s">
        <v>1626</v>
      </c>
    </row>
    <row r="252" spans="1:1" x14ac:dyDescent="0.3">
      <c r="A252" t="s">
        <v>1627</v>
      </c>
    </row>
    <row r="253" spans="1:1" x14ac:dyDescent="0.3">
      <c r="A253" t="s">
        <v>1628</v>
      </c>
    </row>
    <row r="254" spans="1:1" x14ac:dyDescent="0.3">
      <c r="A254" t="s">
        <v>1629</v>
      </c>
    </row>
    <row r="255" spans="1:1" x14ac:dyDescent="0.3">
      <c r="A255" t="s">
        <v>1630</v>
      </c>
    </row>
    <row r="256" spans="1:1" x14ac:dyDescent="0.3">
      <c r="A256" t="s">
        <v>1631</v>
      </c>
    </row>
    <row r="257" spans="1:1" x14ac:dyDescent="0.3">
      <c r="A257" t="s">
        <v>1632</v>
      </c>
    </row>
    <row r="258" spans="1:1" x14ac:dyDescent="0.3">
      <c r="A258" t="s">
        <v>1633</v>
      </c>
    </row>
    <row r="259" spans="1:1" x14ac:dyDescent="0.3">
      <c r="A259" t="s">
        <v>1634</v>
      </c>
    </row>
    <row r="260" spans="1:1" x14ac:dyDescent="0.3">
      <c r="A260" t="s">
        <v>1635</v>
      </c>
    </row>
    <row r="261" spans="1:1" x14ac:dyDescent="0.3">
      <c r="A261" t="s">
        <v>1636</v>
      </c>
    </row>
    <row r="262" spans="1:1" x14ac:dyDescent="0.3">
      <c r="A262" t="s">
        <v>1637</v>
      </c>
    </row>
    <row r="263" spans="1:1" x14ac:dyDescent="0.3">
      <c r="A263" t="s">
        <v>1638</v>
      </c>
    </row>
    <row r="264" spans="1:1" x14ac:dyDescent="0.3">
      <c r="A264" t="s">
        <v>1639</v>
      </c>
    </row>
    <row r="265" spans="1:1" x14ac:dyDescent="0.3">
      <c r="A265" t="s">
        <v>1640</v>
      </c>
    </row>
    <row r="266" spans="1:1" x14ac:dyDescent="0.3">
      <c r="A266" t="s">
        <v>1641</v>
      </c>
    </row>
    <row r="267" spans="1:1" x14ac:dyDescent="0.3">
      <c r="A267" t="s">
        <v>1642</v>
      </c>
    </row>
    <row r="268" spans="1:1" x14ac:dyDescent="0.3">
      <c r="A268" t="s">
        <v>1643</v>
      </c>
    </row>
    <row r="269" spans="1:1" x14ac:dyDescent="0.3">
      <c r="A269" t="s">
        <v>1644</v>
      </c>
    </row>
    <row r="270" spans="1:1" x14ac:dyDescent="0.3">
      <c r="A270" t="s">
        <v>1645</v>
      </c>
    </row>
    <row r="271" spans="1:1" x14ac:dyDescent="0.3">
      <c r="A271" t="s">
        <v>1646</v>
      </c>
    </row>
    <row r="272" spans="1:1" x14ac:dyDescent="0.3">
      <c r="A272" t="s">
        <v>1647</v>
      </c>
    </row>
    <row r="273" spans="1:1" x14ac:dyDescent="0.3">
      <c r="A273" t="s">
        <v>1648</v>
      </c>
    </row>
    <row r="274" spans="1:1" x14ac:dyDescent="0.3">
      <c r="A274" t="s">
        <v>1649</v>
      </c>
    </row>
    <row r="275" spans="1:1" x14ac:dyDescent="0.3">
      <c r="A275" t="s">
        <v>1650</v>
      </c>
    </row>
    <row r="276" spans="1:1" x14ac:dyDescent="0.3">
      <c r="A276" t="s">
        <v>1651</v>
      </c>
    </row>
    <row r="277" spans="1:1" x14ac:dyDescent="0.3">
      <c r="A277" t="s">
        <v>1652</v>
      </c>
    </row>
    <row r="278" spans="1:1" x14ac:dyDescent="0.3">
      <c r="A278" t="s">
        <v>1653</v>
      </c>
    </row>
    <row r="279" spans="1:1" x14ac:dyDescent="0.3">
      <c r="A279" t="s">
        <v>1654</v>
      </c>
    </row>
    <row r="280" spans="1:1" x14ac:dyDescent="0.3">
      <c r="A280" t="s">
        <v>1655</v>
      </c>
    </row>
    <row r="281" spans="1:1" x14ac:dyDescent="0.3">
      <c r="A281" t="s">
        <v>1656</v>
      </c>
    </row>
    <row r="282" spans="1:1" x14ac:dyDescent="0.3">
      <c r="A282" t="s">
        <v>1657</v>
      </c>
    </row>
    <row r="283" spans="1:1" x14ac:dyDescent="0.3">
      <c r="A283" t="s">
        <v>1658</v>
      </c>
    </row>
    <row r="284" spans="1:1" x14ac:dyDescent="0.3">
      <c r="A284" t="s">
        <v>1659</v>
      </c>
    </row>
    <row r="285" spans="1:1" x14ac:dyDescent="0.3">
      <c r="A285" t="s">
        <v>1660</v>
      </c>
    </row>
    <row r="286" spans="1:1" x14ac:dyDescent="0.3">
      <c r="A286" t="s">
        <v>1661</v>
      </c>
    </row>
    <row r="287" spans="1:1" x14ac:dyDescent="0.3">
      <c r="A287" t="s">
        <v>1662</v>
      </c>
    </row>
    <row r="288" spans="1:1" x14ac:dyDescent="0.3">
      <c r="A288" t="s">
        <v>1663</v>
      </c>
    </row>
    <row r="289" spans="1:1" x14ac:dyDescent="0.3">
      <c r="A289" t="s">
        <v>1664</v>
      </c>
    </row>
    <row r="290" spans="1:1" x14ac:dyDescent="0.3">
      <c r="A290" t="s">
        <v>1665</v>
      </c>
    </row>
    <row r="291" spans="1:1" x14ac:dyDescent="0.3">
      <c r="A291" t="s">
        <v>1666</v>
      </c>
    </row>
    <row r="292" spans="1:1" x14ac:dyDescent="0.3">
      <c r="A292" t="s">
        <v>1667</v>
      </c>
    </row>
    <row r="293" spans="1:1" x14ac:dyDescent="0.3">
      <c r="A293" t="s">
        <v>1668</v>
      </c>
    </row>
    <row r="294" spans="1:1" x14ac:dyDescent="0.3">
      <c r="A294" t="s">
        <v>1669</v>
      </c>
    </row>
    <row r="295" spans="1:1" x14ac:dyDescent="0.3">
      <c r="A295" t="s">
        <v>1670</v>
      </c>
    </row>
    <row r="296" spans="1:1" x14ac:dyDescent="0.3">
      <c r="A296" t="s">
        <v>1671</v>
      </c>
    </row>
    <row r="297" spans="1:1" x14ac:dyDescent="0.3">
      <c r="A297" t="s">
        <v>1672</v>
      </c>
    </row>
    <row r="298" spans="1:1" x14ac:dyDescent="0.3">
      <c r="A298" t="s">
        <v>1673</v>
      </c>
    </row>
    <row r="299" spans="1:1" x14ac:dyDescent="0.3">
      <c r="A299" t="s">
        <v>1674</v>
      </c>
    </row>
    <row r="300" spans="1:1" x14ac:dyDescent="0.3">
      <c r="A300" t="s">
        <v>1675</v>
      </c>
    </row>
    <row r="301" spans="1:1" x14ac:dyDescent="0.3">
      <c r="A301" t="s">
        <v>1676</v>
      </c>
    </row>
    <row r="302" spans="1:1" x14ac:dyDescent="0.3">
      <c r="A302" t="s">
        <v>1677</v>
      </c>
    </row>
    <row r="303" spans="1:1" x14ac:dyDescent="0.3">
      <c r="A303" t="s">
        <v>1678</v>
      </c>
    </row>
    <row r="304" spans="1:1" x14ac:dyDescent="0.3">
      <c r="A304" t="s">
        <v>1679</v>
      </c>
    </row>
    <row r="305" spans="1:1" x14ac:dyDescent="0.3">
      <c r="A305" t="s">
        <v>1680</v>
      </c>
    </row>
    <row r="306" spans="1:1" x14ac:dyDescent="0.3">
      <c r="A306" t="s">
        <v>1681</v>
      </c>
    </row>
    <row r="307" spans="1:1" x14ac:dyDescent="0.3">
      <c r="A307" t="s">
        <v>1682</v>
      </c>
    </row>
    <row r="308" spans="1:1" x14ac:dyDescent="0.3">
      <c r="A308" t="s">
        <v>1683</v>
      </c>
    </row>
    <row r="309" spans="1:1" x14ac:dyDescent="0.3">
      <c r="A309" t="s">
        <v>1684</v>
      </c>
    </row>
    <row r="310" spans="1:1" x14ac:dyDescent="0.3">
      <c r="A310" t="s">
        <v>1685</v>
      </c>
    </row>
    <row r="311" spans="1:1" x14ac:dyDescent="0.3">
      <c r="A311" t="s">
        <v>1686</v>
      </c>
    </row>
    <row r="312" spans="1:1" x14ac:dyDescent="0.3">
      <c r="A312" t="s">
        <v>1687</v>
      </c>
    </row>
    <row r="313" spans="1:1" x14ac:dyDescent="0.3">
      <c r="A313" t="s">
        <v>1688</v>
      </c>
    </row>
    <row r="314" spans="1:1" x14ac:dyDescent="0.3">
      <c r="A314" t="s">
        <v>1689</v>
      </c>
    </row>
    <row r="315" spans="1:1" x14ac:dyDescent="0.3">
      <c r="A315" t="s">
        <v>1690</v>
      </c>
    </row>
    <row r="316" spans="1:1" x14ac:dyDescent="0.3">
      <c r="A316" t="s">
        <v>1691</v>
      </c>
    </row>
    <row r="317" spans="1:1" x14ac:dyDescent="0.3">
      <c r="A317" t="s">
        <v>1692</v>
      </c>
    </row>
    <row r="318" spans="1:1" x14ac:dyDescent="0.3">
      <c r="A318" t="s">
        <v>1693</v>
      </c>
    </row>
    <row r="319" spans="1:1" x14ac:dyDescent="0.3">
      <c r="A319" t="s">
        <v>1694</v>
      </c>
    </row>
    <row r="320" spans="1:1" x14ac:dyDescent="0.3">
      <c r="A320" t="s">
        <v>1695</v>
      </c>
    </row>
    <row r="321" spans="1:1" x14ac:dyDescent="0.3">
      <c r="A321" t="s">
        <v>1696</v>
      </c>
    </row>
    <row r="322" spans="1:1" x14ac:dyDescent="0.3">
      <c r="A322" t="s">
        <v>1697</v>
      </c>
    </row>
    <row r="323" spans="1:1" x14ac:dyDescent="0.3">
      <c r="A323" t="s">
        <v>1698</v>
      </c>
    </row>
    <row r="324" spans="1:1" x14ac:dyDescent="0.3">
      <c r="A324" t="s">
        <v>1699</v>
      </c>
    </row>
    <row r="325" spans="1:1" x14ac:dyDescent="0.3">
      <c r="A325" t="s">
        <v>1700</v>
      </c>
    </row>
    <row r="326" spans="1:1" x14ac:dyDescent="0.3">
      <c r="A326" t="s">
        <v>1701</v>
      </c>
    </row>
    <row r="327" spans="1:1" x14ac:dyDescent="0.3">
      <c r="A327" t="s">
        <v>1702</v>
      </c>
    </row>
    <row r="328" spans="1:1" x14ac:dyDescent="0.3">
      <c r="A328" t="s">
        <v>1703</v>
      </c>
    </row>
    <row r="329" spans="1:1" x14ac:dyDescent="0.3">
      <c r="A329" t="s">
        <v>1704</v>
      </c>
    </row>
    <row r="330" spans="1:1" x14ac:dyDescent="0.3">
      <c r="A330" t="s">
        <v>1705</v>
      </c>
    </row>
    <row r="331" spans="1:1" x14ac:dyDescent="0.3">
      <c r="A331" t="s">
        <v>1706</v>
      </c>
    </row>
    <row r="332" spans="1:1" x14ac:dyDescent="0.3">
      <c r="A332" t="s">
        <v>1707</v>
      </c>
    </row>
    <row r="333" spans="1:1" x14ac:dyDescent="0.3">
      <c r="A333" t="s">
        <v>1708</v>
      </c>
    </row>
    <row r="334" spans="1:1" x14ac:dyDescent="0.3">
      <c r="A334" t="s">
        <v>1709</v>
      </c>
    </row>
    <row r="335" spans="1:1" x14ac:dyDescent="0.3">
      <c r="A335" t="s">
        <v>1710</v>
      </c>
    </row>
    <row r="336" spans="1:1" x14ac:dyDescent="0.3">
      <c r="A336" t="s">
        <v>1711</v>
      </c>
    </row>
    <row r="337" spans="1:1" x14ac:dyDescent="0.3">
      <c r="A337" t="s">
        <v>1712</v>
      </c>
    </row>
    <row r="338" spans="1:1" x14ac:dyDescent="0.3">
      <c r="A338" t="s">
        <v>1713</v>
      </c>
    </row>
    <row r="339" spans="1:1" x14ac:dyDescent="0.3">
      <c r="A339" t="s">
        <v>1714</v>
      </c>
    </row>
    <row r="340" spans="1:1" x14ac:dyDescent="0.3">
      <c r="A340" t="s">
        <v>1715</v>
      </c>
    </row>
    <row r="341" spans="1:1" x14ac:dyDescent="0.3">
      <c r="A341" t="s">
        <v>1716</v>
      </c>
    </row>
    <row r="342" spans="1:1" x14ac:dyDescent="0.3">
      <c r="A342" t="s">
        <v>1717</v>
      </c>
    </row>
    <row r="343" spans="1:1" x14ac:dyDescent="0.3">
      <c r="A343" t="s">
        <v>1718</v>
      </c>
    </row>
    <row r="344" spans="1:1" x14ac:dyDescent="0.3">
      <c r="A344" t="s">
        <v>1719</v>
      </c>
    </row>
    <row r="345" spans="1:1" x14ac:dyDescent="0.3">
      <c r="A345" t="s">
        <v>1720</v>
      </c>
    </row>
    <row r="346" spans="1:1" x14ac:dyDescent="0.3">
      <c r="A346" t="s">
        <v>1721</v>
      </c>
    </row>
    <row r="347" spans="1:1" x14ac:dyDescent="0.3">
      <c r="A347" t="s">
        <v>1722</v>
      </c>
    </row>
    <row r="348" spans="1:1" x14ac:dyDescent="0.3">
      <c r="A348" t="s">
        <v>1723</v>
      </c>
    </row>
    <row r="349" spans="1:1" x14ac:dyDescent="0.3">
      <c r="A349" t="s">
        <v>1724</v>
      </c>
    </row>
    <row r="350" spans="1:1" x14ac:dyDescent="0.3">
      <c r="A350" t="s">
        <v>1725</v>
      </c>
    </row>
    <row r="351" spans="1:1" x14ac:dyDescent="0.3">
      <c r="A351" t="s">
        <v>1726</v>
      </c>
    </row>
    <row r="352" spans="1:1" x14ac:dyDescent="0.3">
      <c r="A352" t="s">
        <v>1727</v>
      </c>
    </row>
    <row r="353" spans="1:1" x14ac:dyDescent="0.3">
      <c r="A353" t="s">
        <v>1728</v>
      </c>
    </row>
    <row r="354" spans="1:1" x14ac:dyDescent="0.3">
      <c r="A354" t="s">
        <v>1729</v>
      </c>
    </row>
    <row r="355" spans="1:1" x14ac:dyDescent="0.3">
      <c r="A355" t="s">
        <v>1730</v>
      </c>
    </row>
    <row r="356" spans="1:1" x14ac:dyDescent="0.3">
      <c r="A356" t="s">
        <v>1731</v>
      </c>
    </row>
    <row r="357" spans="1:1" x14ac:dyDescent="0.3">
      <c r="A357" t="s">
        <v>1732</v>
      </c>
    </row>
    <row r="358" spans="1:1" x14ac:dyDescent="0.3">
      <c r="A358" t="s">
        <v>1733</v>
      </c>
    </row>
    <row r="359" spans="1:1" x14ac:dyDescent="0.3">
      <c r="A359" t="s">
        <v>1734</v>
      </c>
    </row>
    <row r="360" spans="1:1" x14ac:dyDescent="0.3">
      <c r="A360" t="s">
        <v>1735</v>
      </c>
    </row>
    <row r="361" spans="1:1" x14ac:dyDescent="0.3">
      <c r="A361" t="s">
        <v>1736</v>
      </c>
    </row>
    <row r="362" spans="1:1" x14ac:dyDescent="0.3">
      <c r="A362" t="s">
        <v>1737</v>
      </c>
    </row>
    <row r="363" spans="1:1" x14ac:dyDescent="0.3">
      <c r="A363" t="s">
        <v>1738</v>
      </c>
    </row>
    <row r="364" spans="1:1" x14ac:dyDescent="0.3">
      <c r="A364" t="s">
        <v>1739</v>
      </c>
    </row>
    <row r="365" spans="1:1" x14ac:dyDescent="0.3">
      <c r="A365" t="s">
        <v>1740</v>
      </c>
    </row>
    <row r="366" spans="1:1" x14ac:dyDescent="0.3">
      <c r="A366" t="s">
        <v>1741</v>
      </c>
    </row>
    <row r="367" spans="1:1" x14ac:dyDescent="0.3">
      <c r="A367" t="s">
        <v>1742</v>
      </c>
    </row>
    <row r="368" spans="1:1" x14ac:dyDescent="0.3">
      <c r="A368" t="s">
        <v>1743</v>
      </c>
    </row>
    <row r="369" spans="1:1" x14ac:dyDescent="0.3">
      <c r="A369" t="s">
        <v>1744</v>
      </c>
    </row>
    <row r="370" spans="1:1" x14ac:dyDescent="0.3">
      <c r="A370" t="s">
        <v>1745</v>
      </c>
    </row>
    <row r="371" spans="1:1" x14ac:dyDescent="0.3">
      <c r="A371" t="s">
        <v>1746</v>
      </c>
    </row>
    <row r="372" spans="1:1" x14ac:dyDescent="0.3">
      <c r="A372" t="s">
        <v>1747</v>
      </c>
    </row>
    <row r="373" spans="1:1" x14ac:dyDescent="0.3">
      <c r="A373" t="s">
        <v>1748</v>
      </c>
    </row>
    <row r="374" spans="1:1" x14ac:dyDescent="0.3">
      <c r="A374" t="s">
        <v>1749</v>
      </c>
    </row>
    <row r="375" spans="1:1" x14ac:dyDescent="0.3">
      <c r="A375" t="s">
        <v>1750</v>
      </c>
    </row>
    <row r="376" spans="1:1" x14ac:dyDescent="0.3">
      <c r="A376" t="s">
        <v>1751</v>
      </c>
    </row>
    <row r="377" spans="1:1" x14ac:dyDescent="0.3">
      <c r="A377" t="s">
        <v>1752</v>
      </c>
    </row>
    <row r="378" spans="1:1" x14ac:dyDescent="0.3">
      <c r="A378" t="s">
        <v>1753</v>
      </c>
    </row>
    <row r="379" spans="1:1" x14ac:dyDescent="0.3">
      <c r="A379" t="s">
        <v>1754</v>
      </c>
    </row>
    <row r="380" spans="1:1" x14ac:dyDescent="0.3">
      <c r="A380" t="s">
        <v>1755</v>
      </c>
    </row>
    <row r="381" spans="1:1" x14ac:dyDescent="0.3">
      <c r="A381" t="s">
        <v>1756</v>
      </c>
    </row>
    <row r="382" spans="1:1" x14ac:dyDescent="0.3">
      <c r="A382" t="s">
        <v>1757</v>
      </c>
    </row>
    <row r="383" spans="1:1" x14ac:dyDescent="0.3">
      <c r="A383" t="s">
        <v>1758</v>
      </c>
    </row>
    <row r="384" spans="1:1" x14ac:dyDescent="0.3">
      <c r="A384" t="s">
        <v>1759</v>
      </c>
    </row>
    <row r="385" spans="1:1" x14ac:dyDescent="0.3">
      <c r="A385" t="s">
        <v>1760</v>
      </c>
    </row>
    <row r="386" spans="1:1" x14ac:dyDescent="0.3">
      <c r="A386" t="s">
        <v>1761</v>
      </c>
    </row>
    <row r="387" spans="1:1" x14ac:dyDescent="0.3">
      <c r="A387" t="s">
        <v>1762</v>
      </c>
    </row>
    <row r="388" spans="1:1" x14ac:dyDescent="0.3">
      <c r="A388" t="s">
        <v>1763</v>
      </c>
    </row>
    <row r="389" spans="1:1" x14ac:dyDescent="0.3">
      <c r="A389" t="s">
        <v>1764</v>
      </c>
    </row>
    <row r="390" spans="1:1" x14ac:dyDescent="0.3">
      <c r="A390" t="s">
        <v>1765</v>
      </c>
    </row>
    <row r="391" spans="1:1" x14ac:dyDescent="0.3">
      <c r="A391" t="s">
        <v>1766</v>
      </c>
    </row>
    <row r="392" spans="1:1" x14ac:dyDescent="0.3">
      <c r="A392" t="s">
        <v>1767</v>
      </c>
    </row>
    <row r="393" spans="1:1" x14ac:dyDescent="0.3">
      <c r="A393" t="s">
        <v>1768</v>
      </c>
    </row>
    <row r="394" spans="1:1" x14ac:dyDescent="0.3">
      <c r="A394" t="s">
        <v>1769</v>
      </c>
    </row>
    <row r="395" spans="1:1" x14ac:dyDescent="0.3">
      <c r="A395" t="s">
        <v>1770</v>
      </c>
    </row>
    <row r="396" spans="1:1" x14ac:dyDescent="0.3">
      <c r="A396" t="s">
        <v>1771</v>
      </c>
    </row>
    <row r="397" spans="1:1" x14ac:dyDescent="0.3">
      <c r="A397" t="s">
        <v>1772</v>
      </c>
    </row>
    <row r="398" spans="1:1" x14ac:dyDescent="0.3">
      <c r="A398" t="s">
        <v>1773</v>
      </c>
    </row>
    <row r="399" spans="1:1" x14ac:dyDescent="0.3">
      <c r="A399" t="s">
        <v>1774</v>
      </c>
    </row>
    <row r="400" spans="1:1" x14ac:dyDescent="0.3">
      <c r="A400" t="s">
        <v>1775</v>
      </c>
    </row>
    <row r="401" spans="1:1" x14ac:dyDescent="0.3">
      <c r="A401" t="s">
        <v>1776</v>
      </c>
    </row>
    <row r="402" spans="1:1" x14ac:dyDescent="0.3">
      <c r="A402" t="s">
        <v>1777</v>
      </c>
    </row>
    <row r="403" spans="1:1" x14ac:dyDescent="0.3">
      <c r="A403" t="s">
        <v>1778</v>
      </c>
    </row>
    <row r="404" spans="1:1" x14ac:dyDescent="0.3">
      <c r="A404" t="s">
        <v>1779</v>
      </c>
    </row>
    <row r="405" spans="1:1" x14ac:dyDescent="0.3">
      <c r="A405" t="s">
        <v>1780</v>
      </c>
    </row>
    <row r="406" spans="1:1" x14ac:dyDescent="0.3">
      <c r="A406" t="s">
        <v>1781</v>
      </c>
    </row>
    <row r="407" spans="1:1" x14ac:dyDescent="0.3">
      <c r="A407" t="s">
        <v>1782</v>
      </c>
    </row>
    <row r="408" spans="1:1" x14ac:dyDescent="0.3">
      <c r="A408" t="s">
        <v>1783</v>
      </c>
    </row>
    <row r="409" spans="1:1" x14ac:dyDescent="0.3">
      <c r="A409" t="s">
        <v>1784</v>
      </c>
    </row>
    <row r="410" spans="1:1" x14ac:dyDescent="0.3">
      <c r="A410" t="s">
        <v>1785</v>
      </c>
    </row>
    <row r="411" spans="1:1" x14ac:dyDescent="0.3">
      <c r="A411" t="s">
        <v>1786</v>
      </c>
    </row>
    <row r="412" spans="1:1" x14ac:dyDescent="0.3">
      <c r="A412" t="s">
        <v>1787</v>
      </c>
    </row>
    <row r="413" spans="1:1" x14ac:dyDescent="0.3">
      <c r="A413" t="s">
        <v>1788</v>
      </c>
    </row>
    <row r="414" spans="1:1" x14ac:dyDescent="0.3">
      <c r="A414" t="s">
        <v>1789</v>
      </c>
    </row>
    <row r="415" spans="1:1" x14ac:dyDescent="0.3">
      <c r="A415" t="s">
        <v>1790</v>
      </c>
    </row>
    <row r="416" spans="1:1" x14ac:dyDescent="0.3">
      <c r="A416" t="s">
        <v>1791</v>
      </c>
    </row>
    <row r="417" spans="1:1" x14ac:dyDescent="0.3">
      <c r="A417" t="s">
        <v>1792</v>
      </c>
    </row>
    <row r="418" spans="1:1" x14ac:dyDescent="0.3">
      <c r="A418" t="s">
        <v>1793</v>
      </c>
    </row>
    <row r="419" spans="1:1" x14ac:dyDescent="0.3">
      <c r="A419" t="s">
        <v>1794</v>
      </c>
    </row>
    <row r="420" spans="1:1" x14ac:dyDescent="0.3">
      <c r="A420" t="s">
        <v>1795</v>
      </c>
    </row>
    <row r="421" spans="1:1" x14ac:dyDescent="0.3">
      <c r="A421" t="s">
        <v>1796</v>
      </c>
    </row>
    <row r="422" spans="1:1" x14ac:dyDescent="0.3">
      <c r="A422" t="s">
        <v>1797</v>
      </c>
    </row>
    <row r="423" spans="1:1" x14ac:dyDescent="0.3">
      <c r="A423" t="s">
        <v>1798</v>
      </c>
    </row>
    <row r="424" spans="1:1" x14ac:dyDescent="0.3">
      <c r="A424" t="s">
        <v>1799</v>
      </c>
    </row>
    <row r="425" spans="1:1" x14ac:dyDescent="0.3">
      <c r="A425" t="s">
        <v>1800</v>
      </c>
    </row>
    <row r="426" spans="1:1" x14ac:dyDescent="0.3">
      <c r="A426" t="s">
        <v>1801</v>
      </c>
    </row>
    <row r="427" spans="1:1" x14ac:dyDescent="0.3">
      <c r="A427" t="s">
        <v>1802</v>
      </c>
    </row>
    <row r="428" spans="1:1" x14ac:dyDescent="0.3">
      <c r="A428" t="s">
        <v>1803</v>
      </c>
    </row>
    <row r="429" spans="1:1" x14ac:dyDescent="0.3">
      <c r="A429" t="s">
        <v>1804</v>
      </c>
    </row>
    <row r="430" spans="1:1" x14ac:dyDescent="0.3">
      <c r="A430" t="s">
        <v>1805</v>
      </c>
    </row>
    <row r="431" spans="1:1" x14ac:dyDescent="0.3">
      <c r="A431" t="s">
        <v>1806</v>
      </c>
    </row>
    <row r="432" spans="1:1" x14ac:dyDescent="0.3">
      <c r="A432" t="s">
        <v>1807</v>
      </c>
    </row>
    <row r="433" spans="1:1" x14ac:dyDescent="0.3">
      <c r="A433" t="s">
        <v>1808</v>
      </c>
    </row>
    <row r="434" spans="1:1" x14ac:dyDescent="0.3">
      <c r="A434" t="s">
        <v>1809</v>
      </c>
    </row>
    <row r="435" spans="1:1" x14ac:dyDescent="0.3">
      <c r="A435" t="s">
        <v>1810</v>
      </c>
    </row>
    <row r="436" spans="1:1" x14ac:dyDescent="0.3">
      <c r="A436" t="s">
        <v>1811</v>
      </c>
    </row>
    <row r="437" spans="1:1" x14ac:dyDescent="0.3">
      <c r="A437" t="s">
        <v>1812</v>
      </c>
    </row>
    <row r="438" spans="1:1" x14ac:dyDescent="0.3">
      <c r="A438" t="s">
        <v>1813</v>
      </c>
    </row>
    <row r="439" spans="1:1" x14ac:dyDescent="0.3">
      <c r="A439" t="s">
        <v>1814</v>
      </c>
    </row>
    <row r="440" spans="1:1" x14ac:dyDescent="0.3">
      <c r="A440" t="s">
        <v>1815</v>
      </c>
    </row>
    <row r="441" spans="1:1" x14ac:dyDescent="0.3">
      <c r="A441" t="s">
        <v>1816</v>
      </c>
    </row>
    <row r="442" spans="1:1" x14ac:dyDescent="0.3">
      <c r="A442" t="s">
        <v>1817</v>
      </c>
    </row>
    <row r="443" spans="1:1" x14ac:dyDescent="0.3">
      <c r="A443" t="s">
        <v>1818</v>
      </c>
    </row>
    <row r="444" spans="1:1" x14ac:dyDescent="0.3">
      <c r="A444" t="s">
        <v>1819</v>
      </c>
    </row>
    <row r="445" spans="1:1" x14ac:dyDescent="0.3">
      <c r="A445" t="s">
        <v>1820</v>
      </c>
    </row>
    <row r="446" spans="1:1" x14ac:dyDescent="0.3">
      <c r="A446" t="s">
        <v>1821</v>
      </c>
    </row>
    <row r="447" spans="1:1" x14ac:dyDescent="0.3">
      <c r="A447" t="s">
        <v>1822</v>
      </c>
    </row>
    <row r="448" spans="1:1" x14ac:dyDescent="0.3">
      <c r="A448" t="s">
        <v>1823</v>
      </c>
    </row>
    <row r="449" spans="1:1" x14ac:dyDescent="0.3">
      <c r="A449" t="s">
        <v>1824</v>
      </c>
    </row>
    <row r="450" spans="1:1" x14ac:dyDescent="0.3">
      <c r="A450" t="s">
        <v>1825</v>
      </c>
    </row>
    <row r="451" spans="1:1" x14ac:dyDescent="0.3">
      <c r="A451" t="s">
        <v>1826</v>
      </c>
    </row>
    <row r="452" spans="1:1" x14ac:dyDescent="0.3">
      <c r="A452" t="s">
        <v>1827</v>
      </c>
    </row>
    <row r="453" spans="1:1" x14ac:dyDescent="0.3">
      <c r="A453" t="s">
        <v>1828</v>
      </c>
    </row>
    <row r="454" spans="1:1" x14ac:dyDescent="0.3">
      <c r="A454" t="s">
        <v>1829</v>
      </c>
    </row>
    <row r="455" spans="1:1" x14ac:dyDescent="0.3">
      <c r="A455" t="s">
        <v>1830</v>
      </c>
    </row>
    <row r="456" spans="1:1" x14ac:dyDescent="0.3">
      <c r="A456" t="s">
        <v>1831</v>
      </c>
    </row>
    <row r="457" spans="1:1" x14ac:dyDescent="0.3">
      <c r="A457" t="s">
        <v>1832</v>
      </c>
    </row>
    <row r="458" spans="1:1" x14ac:dyDescent="0.3">
      <c r="A458" t="s">
        <v>1833</v>
      </c>
    </row>
    <row r="459" spans="1:1" x14ac:dyDescent="0.3">
      <c r="A459" t="s">
        <v>1834</v>
      </c>
    </row>
    <row r="460" spans="1:1" x14ac:dyDescent="0.3">
      <c r="A460" t="s">
        <v>1835</v>
      </c>
    </row>
    <row r="461" spans="1:1" x14ac:dyDescent="0.3">
      <c r="A461" t="s">
        <v>1836</v>
      </c>
    </row>
    <row r="462" spans="1:1" x14ac:dyDescent="0.3">
      <c r="A462" t="s">
        <v>1837</v>
      </c>
    </row>
    <row r="463" spans="1:1" x14ac:dyDescent="0.3">
      <c r="A463" t="s">
        <v>1838</v>
      </c>
    </row>
    <row r="464" spans="1:1" x14ac:dyDescent="0.3">
      <c r="A464" t="s">
        <v>1839</v>
      </c>
    </row>
    <row r="465" spans="1:1" x14ac:dyDescent="0.3">
      <c r="A465" t="s">
        <v>1840</v>
      </c>
    </row>
    <row r="466" spans="1:1" x14ac:dyDescent="0.3">
      <c r="A466" t="s">
        <v>1841</v>
      </c>
    </row>
    <row r="467" spans="1:1" x14ac:dyDescent="0.3">
      <c r="A467" t="s">
        <v>1842</v>
      </c>
    </row>
    <row r="468" spans="1:1" x14ac:dyDescent="0.3">
      <c r="A468" t="s">
        <v>1843</v>
      </c>
    </row>
    <row r="469" spans="1:1" x14ac:dyDescent="0.3">
      <c r="A469" t="s">
        <v>1844</v>
      </c>
    </row>
    <row r="470" spans="1:1" x14ac:dyDescent="0.3">
      <c r="A470" t="s">
        <v>1845</v>
      </c>
    </row>
    <row r="471" spans="1:1" x14ac:dyDescent="0.3">
      <c r="A471" t="s">
        <v>1846</v>
      </c>
    </row>
    <row r="472" spans="1:1" x14ac:dyDescent="0.3">
      <c r="A472" t="s">
        <v>1847</v>
      </c>
    </row>
    <row r="473" spans="1:1" x14ac:dyDescent="0.3">
      <c r="A473" t="s">
        <v>1848</v>
      </c>
    </row>
    <row r="474" spans="1:1" x14ac:dyDescent="0.3">
      <c r="A474" t="s">
        <v>1849</v>
      </c>
    </row>
    <row r="475" spans="1:1" x14ac:dyDescent="0.3">
      <c r="A475" t="s">
        <v>1850</v>
      </c>
    </row>
    <row r="476" spans="1:1" x14ac:dyDescent="0.3">
      <c r="A476" t="s">
        <v>1851</v>
      </c>
    </row>
    <row r="477" spans="1:1" x14ac:dyDescent="0.3">
      <c r="A477" t="s">
        <v>1852</v>
      </c>
    </row>
    <row r="478" spans="1:1" x14ac:dyDescent="0.3">
      <c r="A478" t="s">
        <v>1853</v>
      </c>
    </row>
    <row r="479" spans="1:1" x14ac:dyDescent="0.3">
      <c r="A479" t="s">
        <v>1854</v>
      </c>
    </row>
    <row r="480" spans="1:1" x14ac:dyDescent="0.3">
      <c r="A480" t="s">
        <v>1855</v>
      </c>
    </row>
    <row r="481" spans="1:1" x14ac:dyDescent="0.3">
      <c r="A481" t="s">
        <v>1856</v>
      </c>
    </row>
    <row r="482" spans="1:1" x14ac:dyDescent="0.3">
      <c r="A482" t="s">
        <v>1857</v>
      </c>
    </row>
    <row r="483" spans="1:1" x14ac:dyDescent="0.3">
      <c r="A483" t="s">
        <v>1858</v>
      </c>
    </row>
    <row r="484" spans="1:1" x14ac:dyDescent="0.3">
      <c r="A484" t="s">
        <v>1859</v>
      </c>
    </row>
    <row r="485" spans="1:1" x14ac:dyDescent="0.3">
      <c r="A485" t="s">
        <v>1860</v>
      </c>
    </row>
    <row r="486" spans="1:1" x14ac:dyDescent="0.3">
      <c r="A486" t="s">
        <v>1861</v>
      </c>
    </row>
    <row r="487" spans="1:1" x14ac:dyDescent="0.3">
      <c r="A487" t="s">
        <v>1862</v>
      </c>
    </row>
    <row r="488" spans="1:1" x14ac:dyDescent="0.3">
      <c r="A488" t="s">
        <v>1863</v>
      </c>
    </row>
    <row r="489" spans="1:1" x14ac:dyDescent="0.3">
      <c r="A489" t="s">
        <v>1864</v>
      </c>
    </row>
    <row r="490" spans="1:1" x14ac:dyDescent="0.3">
      <c r="A490" t="s">
        <v>1865</v>
      </c>
    </row>
    <row r="491" spans="1:1" x14ac:dyDescent="0.3">
      <c r="A491" t="s">
        <v>1866</v>
      </c>
    </row>
    <row r="492" spans="1:1" x14ac:dyDescent="0.3">
      <c r="A492" t="s">
        <v>1867</v>
      </c>
    </row>
    <row r="493" spans="1:1" x14ac:dyDescent="0.3">
      <c r="A493" t="s">
        <v>1868</v>
      </c>
    </row>
    <row r="494" spans="1:1" x14ac:dyDescent="0.3">
      <c r="A494" t="s">
        <v>1869</v>
      </c>
    </row>
    <row r="495" spans="1:1" x14ac:dyDescent="0.3">
      <c r="A495" t="s">
        <v>1870</v>
      </c>
    </row>
    <row r="496" spans="1:1" x14ac:dyDescent="0.3">
      <c r="A496" t="s">
        <v>1871</v>
      </c>
    </row>
    <row r="497" spans="1:1" x14ac:dyDescent="0.3">
      <c r="A497" t="s">
        <v>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mainTable</vt:lpstr>
      <vt:lpstr>simonColSelection</vt:lpstr>
      <vt:lpstr>seqConcatenated</vt:lpstr>
      <vt:lpstr>finalSelection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klaps</dc:creator>
  <cp:lastModifiedBy>joon klaps</cp:lastModifiedBy>
  <dcterms:created xsi:type="dcterms:W3CDTF">2021-12-16T08:41:47Z</dcterms:created>
  <dcterms:modified xsi:type="dcterms:W3CDTF">2022-02-09T15:37:29Z</dcterms:modified>
</cp:coreProperties>
</file>